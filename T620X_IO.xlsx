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5CE95135-CF38-414E-8EEB-23CC7FBCAA2D}" xr6:coauthVersionLast="47" xr6:coauthVersionMax="47" xr10:uidLastSave="{00000000-0000-0000-0000-000000000000}"/>
  <bookViews>
    <workbookView xWindow="38280" yWindow="5280" windowWidth="29040" windowHeight="15720" tabRatio="857" activeTab="9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ALARMS" sheetId="24" r:id="rId5"/>
    <sheet name="ALARMS_IO" sheetId="31" r:id="rId6"/>
    <sheet name="SNAGS" sheetId="33" r:id="rId7"/>
    <sheet name="DPF Symbol Logic" sheetId="37" r:id="rId8"/>
    <sheet name="  C3.6 PGNs" sheetId="35" r:id="rId9"/>
    <sheet name="C3.6 PGNS -12 doc" sheetId="36" r:id="rId10"/>
  </sheets>
  <definedNames>
    <definedName name="_xlnm._FilterDatabase" localSheetId="5" hidden="1">ALARMS_IO!$A$1:$K$48</definedName>
    <definedName name="_xlnm._FilterDatabase" localSheetId="9" hidden="1">'C3.6 PGNS -12 doc'!$A$1:$W$171</definedName>
    <definedName name="_xlnm._FilterDatabase" localSheetId="0" hidden="1">IO!$A$1:$AP$78</definedName>
    <definedName name="_xlnm._FilterDatabase" localSheetId="6" hidden="1">SNAGS!$A$1:$E$93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1" i="36" l="1"/>
  <c r="O171" i="36" s="1"/>
  <c r="L170" i="36"/>
  <c r="O170" i="36" s="1"/>
  <c r="L169" i="36"/>
  <c r="O169" i="36" s="1"/>
  <c r="L168" i="36"/>
  <c r="O168" i="36" s="1"/>
  <c r="L167" i="36"/>
  <c r="O167" i="36" s="1"/>
  <c r="L166" i="36"/>
  <c r="O166" i="36" s="1"/>
  <c r="L165" i="36"/>
  <c r="O165" i="36" s="1"/>
  <c r="L164" i="36"/>
  <c r="O164" i="36" s="1"/>
  <c r="L163" i="36"/>
  <c r="O163" i="36" s="1"/>
  <c r="L162" i="36"/>
  <c r="O162" i="36" s="1"/>
  <c r="L161" i="36"/>
  <c r="O161" i="36" s="1"/>
  <c r="L160" i="36"/>
  <c r="O160" i="36" s="1"/>
  <c r="L159" i="36"/>
  <c r="O159" i="36" s="1"/>
  <c r="L158" i="36"/>
  <c r="O158" i="36" s="1"/>
  <c r="L157" i="36"/>
  <c r="O157" i="36" s="1"/>
  <c r="L156" i="36"/>
  <c r="O156" i="36" s="1"/>
  <c r="L155" i="36"/>
  <c r="O155" i="36" s="1"/>
  <c r="L154" i="36"/>
  <c r="O154" i="36" s="1"/>
  <c r="L153" i="36"/>
  <c r="O153" i="36" s="1"/>
  <c r="L152" i="36"/>
  <c r="O152" i="36" s="1"/>
  <c r="L151" i="36"/>
  <c r="O151" i="36" s="1"/>
  <c r="L150" i="36"/>
  <c r="O150" i="36" s="1"/>
  <c r="L149" i="36"/>
  <c r="O149" i="36" s="1"/>
  <c r="L148" i="36"/>
  <c r="O148" i="36" s="1"/>
  <c r="L147" i="36"/>
  <c r="O147" i="36" s="1"/>
  <c r="L146" i="36"/>
  <c r="O146" i="36" s="1"/>
  <c r="L145" i="36"/>
  <c r="O145" i="36" s="1"/>
  <c r="L144" i="36"/>
  <c r="O144" i="36" s="1"/>
  <c r="L143" i="36"/>
  <c r="O143" i="36" s="1"/>
  <c r="L142" i="36"/>
  <c r="O142" i="36" s="1"/>
  <c r="L141" i="36"/>
  <c r="O141" i="36" s="1"/>
  <c r="L140" i="36"/>
  <c r="O140" i="36" s="1"/>
  <c r="L139" i="36"/>
  <c r="O139" i="36" s="1"/>
  <c r="L138" i="36"/>
  <c r="O138" i="36" s="1"/>
  <c r="L137" i="36"/>
  <c r="O137" i="36" s="1"/>
  <c r="L136" i="36"/>
  <c r="O136" i="36" s="1"/>
  <c r="L135" i="36"/>
  <c r="O135" i="36" s="1"/>
  <c r="L134" i="36"/>
  <c r="O134" i="36" s="1"/>
  <c r="L133" i="36"/>
  <c r="O133" i="36" s="1"/>
  <c r="L132" i="36"/>
  <c r="O132" i="36" s="1"/>
  <c r="L131" i="36"/>
  <c r="O131" i="36" s="1"/>
  <c r="L130" i="36"/>
  <c r="O130" i="36" s="1"/>
  <c r="L129" i="36"/>
  <c r="O129" i="36" s="1"/>
  <c r="L128" i="36"/>
  <c r="O128" i="36" s="1"/>
  <c r="L127" i="36"/>
  <c r="O127" i="36" s="1"/>
  <c r="L126" i="36"/>
  <c r="O126" i="36" s="1"/>
  <c r="L125" i="36"/>
  <c r="O125" i="36" s="1"/>
  <c r="L124" i="36"/>
  <c r="O124" i="36" s="1"/>
  <c r="L123" i="36"/>
  <c r="O123" i="36" s="1"/>
  <c r="L122" i="36"/>
  <c r="O122" i="36" s="1"/>
  <c r="L121" i="36"/>
  <c r="O121" i="36" s="1"/>
  <c r="L120" i="36"/>
  <c r="O120" i="36" s="1"/>
  <c r="L119" i="36"/>
  <c r="O119" i="36" s="1"/>
  <c r="L118" i="36"/>
  <c r="O118" i="36" s="1"/>
  <c r="L117" i="36"/>
  <c r="O117" i="36" s="1"/>
  <c r="L116" i="36"/>
  <c r="O116" i="36" s="1"/>
  <c r="L115" i="36"/>
  <c r="O115" i="36" s="1"/>
  <c r="L114" i="36"/>
  <c r="O114" i="36" s="1"/>
  <c r="L113" i="36"/>
  <c r="O113" i="36" s="1"/>
  <c r="L112" i="36"/>
  <c r="O112" i="36" s="1"/>
  <c r="L111" i="36"/>
  <c r="O111" i="36" s="1"/>
  <c r="L110" i="36"/>
  <c r="O110" i="36" s="1"/>
  <c r="L109" i="36"/>
  <c r="O109" i="36" s="1"/>
  <c r="L108" i="36"/>
  <c r="O108" i="36" s="1"/>
  <c r="L107" i="36"/>
  <c r="O107" i="36" s="1"/>
  <c r="L106" i="36"/>
  <c r="O106" i="36" s="1"/>
  <c r="L105" i="36"/>
  <c r="O105" i="36" s="1"/>
  <c r="L104" i="36"/>
  <c r="O104" i="36" s="1"/>
  <c r="L103" i="36"/>
  <c r="O103" i="36" s="1"/>
  <c r="L102" i="36"/>
  <c r="O102" i="36" s="1"/>
  <c r="L101" i="36"/>
  <c r="O101" i="36" s="1"/>
  <c r="L100" i="36"/>
  <c r="O100" i="36" s="1"/>
  <c r="L99" i="36"/>
  <c r="O99" i="36" s="1"/>
  <c r="L98" i="36"/>
  <c r="O98" i="36" s="1"/>
  <c r="L97" i="36"/>
  <c r="O97" i="36" s="1"/>
  <c r="L96" i="36"/>
  <c r="O96" i="36" s="1"/>
  <c r="L95" i="36"/>
  <c r="O95" i="36" s="1"/>
  <c r="L94" i="36"/>
  <c r="O94" i="36" s="1"/>
  <c r="L93" i="36"/>
  <c r="O93" i="36" s="1"/>
  <c r="L92" i="36"/>
  <c r="O92" i="36" s="1"/>
  <c r="L91" i="36"/>
  <c r="O91" i="36" s="1"/>
  <c r="L90" i="36"/>
  <c r="O90" i="36" s="1"/>
  <c r="L89" i="36"/>
  <c r="O89" i="36" s="1"/>
  <c r="L88" i="36"/>
  <c r="O88" i="36" s="1"/>
  <c r="L87" i="36"/>
  <c r="O87" i="36" s="1"/>
  <c r="L86" i="36"/>
  <c r="O86" i="36" s="1"/>
  <c r="L85" i="36"/>
  <c r="O85" i="36" s="1"/>
  <c r="L84" i="36"/>
  <c r="O84" i="36" s="1"/>
  <c r="L83" i="36"/>
  <c r="O83" i="36" s="1"/>
  <c r="L82" i="36"/>
  <c r="O82" i="36" s="1"/>
  <c r="L81" i="36"/>
  <c r="O81" i="36" s="1"/>
  <c r="L80" i="36"/>
  <c r="O80" i="36" s="1"/>
  <c r="L79" i="36"/>
  <c r="O79" i="36" s="1"/>
  <c r="L78" i="36"/>
  <c r="O78" i="36" s="1"/>
  <c r="L77" i="36"/>
  <c r="O77" i="36" s="1"/>
  <c r="L76" i="36"/>
  <c r="O76" i="36" s="1"/>
  <c r="L75" i="36"/>
  <c r="O75" i="36" s="1"/>
  <c r="L74" i="36"/>
  <c r="O74" i="36" s="1"/>
  <c r="L73" i="36"/>
  <c r="O73" i="36" s="1"/>
  <c r="L72" i="36"/>
  <c r="O72" i="36" s="1"/>
  <c r="L71" i="36"/>
  <c r="O71" i="36" s="1"/>
  <c r="L70" i="36"/>
  <c r="O70" i="36" s="1"/>
  <c r="L69" i="36"/>
  <c r="O69" i="36" s="1"/>
  <c r="L68" i="36"/>
  <c r="O68" i="36" s="1"/>
  <c r="L67" i="36"/>
  <c r="O67" i="36" s="1"/>
  <c r="L66" i="36"/>
  <c r="O66" i="36" s="1"/>
  <c r="L65" i="36"/>
  <c r="O65" i="36" s="1"/>
  <c r="L64" i="36"/>
  <c r="O64" i="36" s="1"/>
  <c r="L63" i="36"/>
  <c r="O63" i="36" s="1"/>
  <c r="L62" i="36"/>
  <c r="O62" i="36" s="1"/>
  <c r="L61" i="36"/>
  <c r="O61" i="36" s="1"/>
  <c r="L60" i="36"/>
  <c r="O60" i="36" s="1"/>
  <c r="L59" i="36"/>
  <c r="O59" i="36" s="1"/>
  <c r="L58" i="36"/>
  <c r="O58" i="36" s="1"/>
  <c r="L57" i="36"/>
  <c r="O57" i="36" s="1"/>
  <c r="L56" i="36"/>
  <c r="O56" i="36" s="1"/>
  <c r="L55" i="36"/>
  <c r="O55" i="36" s="1"/>
  <c r="L54" i="36"/>
  <c r="O54" i="36" s="1"/>
  <c r="L53" i="36"/>
  <c r="O53" i="36" s="1"/>
  <c r="L52" i="36"/>
  <c r="O52" i="36" s="1"/>
  <c r="L51" i="36"/>
  <c r="O51" i="36" s="1"/>
  <c r="L50" i="36"/>
  <c r="O50" i="36" s="1"/>
  <c r="L49" i="36"/>
  <c r="O49" i="36" s="1"/>
  <c r="L48" i="36"/>
  <c r="O48" i="36" s="1"/>
  <c r="L47" i="36"/>
  <c r="O47" i="36" s="1"/>
  <c r="L46" i="36"/>
  <c r="O46" i="36" s="1"/>
  <c r="L45" i="36"/>
  <c r="O45" i="36" s="1"/>
  <c r="L44" i="36"/>
  <c r="O44" i="36" s="1"/>
  <c r="L43" i="36"/>
  <c r="O43" i="36" s="1"/>
  <c r="L42" i="36"/>
  <c r="O42" i="36" s="1"/>
  <c r="L41" i="36"/>
  <c r="O41" i="36" s="1"/>
  <c r="L40" i="36"/>
  <c r="O40" i="36" s="1"/>
  <c r="L39" i="36"/>
  <c r="O39" i="36" s="1"/>
  <c r="L38" i="36"/>
  <c r="O38" i="36" s="1"/>
  <c r="L37" i="36"/>
  <c r="O37" i="36" s="1"/>
  <c r="L36" i="36"/>
  <c r="O36" i="36" s="1"/>
  <c r="L35" i="36"/>
  <c r="O35" i="36" s="1"/>
  <c r="L34" i="36"/>
  <c r="O34" i="36" s="1"/>
  <c r="L33" i="36"/>
  <c r="O33" i="36" s="1"/>
  <c r="L32" i="36"/>
  <c r="O32" i="36" s="1"/>
  <c r="L31" i="36"/>
  <c r="O31" i="36" s="1"/>
  <c r="L30" i="36"/>
  <c r="O30" i="36" s="1"/>
  <c r="L29" i="36"/>
  <c r="O29" i="36" s="1"/>
  <c r="L28" i="36"/>
  <c r="O28" i="36" s="1"/>
  <c r="L27" i="36"/>
  <c r="O27" i="36" s="1"/>
  <c r="L26" i="36"/>
  <c r="O26" i="36" s="1"/>
  <c r="L25" i="36"/>
  <c r="O25" i="36" s="1"/>
  <c r="L24" i="36"/>
  <c r="O24" i="36" s="1"/>
  <c r="L23" i="36"/>
  <c r="O23" i="36" s="1"/>
  <c r="L22" i="36"/>
  <c r="O22" i="36" s="1"/>
  <c r="L21" i="36"/>
  <c r="O21" i="36" s="1"/>
  <c r="L20" i="36"/>
  <c r="O20" i="36" s="1"/>
  <c r="L19" i="36"/>
  <c r="O19" i="36" s="1"/>
  <c r="L18" i="36"/>
  <c r="O18" i="36" s="1"/>
  <c r="L17" i="36"/>
  <c r="O17" i="36" s="1"/>
  <c r="L16" i="36"/>
  <c r="O16" i="36" s="1"/>
  <c r="L15" i="36"/>
  <c r="O15" i="36" s="1"/>
  <c r="L14" i="36"/>
  <c r="O14" i="36" s="1"/>
  <c r="L13" i="36"/>
  <c r="O13" i="36" s="1"/>
  <c r="L12" i="36"/>
  <c r="O12" i="36" s="1"/>
  <c r="L11" i="36"/>
  <c r="O11" i="36" s="1"/>
  <c r="L10" i="36"/>
  <c r="O10" i="36" s="1"/>
  <c r="L9" i="36"/>
  <c r="O9" i="36" s="1"/>
  <c r="L8" i="36"/>
  <c r="O8" i="36" s="1"/>
  <c r="L7" i="36"/>
  <c r="O7" i="36" s="1"/>
  <c r="L6" i="36"/>
  <c r="O6" i="36" s="1"/>
  <c r="L5" i="36"/>
  <c r="O5" i="36" s="1"/>
  <c r="L4" i="36"/>
  <c r="O4" i="36" s="1"/>
  <c r="L3" i="36"/>
  <c r="O3" i="36" s="1"/>
  <c r="L2" i="36"/>
  <c r="O2" i="36" s="1"/>
  <c r="I118" i="36"/>
  <c r="I117" i="36"/>
  <c r="I116" i="36"/>
  <c r="I115" i="36"/>
  <c r="I114" i="36"/>
  <c r="I113" i="36"/>
  <c r="I112" i="36"/>
  <c r="I111" i="36"/>
  <c r="I110" i="36"/>
  <c r="I109" i="36"/>
  <c r="I108" i="36"/>
  <c r="I107" i="36"/>
  <c r="I106" i="36"/>
  <c r="I105" i="36"/>
  <c r="I104" i="36"/>
  <c r="I103" i="36"/>
  <c r="I102" i="36"/>
  <c r="I101" i="36"/>
  <c r="I100" i="36"/>
  <c r="I99" i="36"/>
  <c r="I98" i="36"/>
  <c r="I97" i="36"/>
  <c r="I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M57" i="36" l="1"/>
  <c r="N57" i="36" s="1"/>
  <c r="M60" i="36"/>
  <c r="N60" i="36" s="1"/>
  <c r="M76" i="36"/>
  <c r="N76" i="36" s="1"/>
  <c r="M77" i="36"/>
  <c r="N77" i="36" s="1"/>
  <c r="M100" i="36"/>
  <c r="N100" i="36" s="1"/>
  <c r="M101" i="36"/>
  <c r="N101" i="36" s="1"/>
  <c r="M102" i="36"/>
  <c r="N102" i="36" s="1"/>
  <c r="M103" i="36"/>
  <c r="N103" i="36" s="1"/>
  <c r="M104" i="36"/>
  <c r="N104" i="36" s="1"/>
  <c r="M105" i="36"/>
  <c r="N105" i="36" s="1"/>
  <c r="M151" i="36"/>
  <c r="N151" i="36" s="1"/>
  <c r="M152" i="36"/>
  <c r="N152" i="36" s="1"/>
  <c r="M58" i="36"/>
  <c r="N58" i="36" s="1"/>
  <c r="M106" i="36"/>
  <c r="N106" i="36" s="1"/>
  <c r="M107" i="36"/>
  <c r="N107" i="36" s="1"/>
  <c r="M108" i="36"/>
  <c r="N108" i="36" s="1"/>
  <c r="M59" i="36"/>
  <c r="N59" i="36" s="1"/>
  <c r="M132" i="36"/>
  <c r="N132" i="36" s="1"/>
  <c r="M148" i="36"/>
  <c r="N148" i="36" s="1"/>
  <c r="M149" i="36"/>
  <c r="N149" i="36" s="1"/>
  <c r="M17" i="36"/>
  <c r="N17" i="36" s="1"/>
  <c r="M150" i="36"/>
  <c r="N150" i="36" s="1"/>
  <c r="M28" i="36"/>
  <c r="N28" i="36" s="1"/>
  <c r="M29" i="36"/>
  <c r="N29" i="36" s="1"/>
  <c r="M30" i="36"/>
  <c r="N30" i="36" s="1"/>
  <c r="M154" i="36"/>
  <c r="N154" i="36" s="1"/>
  <c r="M31" i="36"/>
  <c r="N31" i="36" s="1"/>
  <c r="M155" i="36"/>
  <c r="N155" i="36" s="1"/>
  <c r="M33" i="36"/>
  <c r="N33" i="36" s="1"/>
  <c r="M156" i="36"/>
  <c r="N156" i="36" s="1"/>
  <c r="M134" i="36"/>
  <c r="N134" i="36" s="1"/>
  <c r="M19" i="36"/>
  <c r="N19" i="36" s="1"/>
  <c r="M61" i="36"/>
  <c r="N61" i="36" s="1"/>
  <c r="M136" i="36"/>
  <c r="N136" i="36" s="1"/>
  <c r="M62" i="36"/>
  <c r="N62" i="36" s="1"/>
  <c r="M137" i="36"/>
  <c r="N137" i="36" s="1"/>
  <c r="M63" i="36"/>
  <c r="N63" i="36" s="1"/>
  <c r="M138" i="36"/>
  <c r="N138" i="36" s="1"/>
  <c r="M13" i="36"/>
  <c r="N13" i="36" s="1"/>
  <c r="M65" i="36"/>
  <c r="N65" i="36" s="1"/>
  <c r="M139" i="36"/>
  <c r="N139" i="36" s="1"/>
  <c r="M15" i="36"/>
  <c r="N15" i="36" s="1"/>
  <c r="M67" i="36"/>
  <c r="N67" i="36" s="1"/>
  <c r="M32" i="36"/>
  <c r="N32" i="36" s="1"/>
  <c r="M109" i="36"/>
  <c r="N109" i="36" s="1"/>
  <c r="M110" i="36"/>
  <c r="N110" i="36" s="1"/>
  <c r="M34" i="36"/>
  <c r="N34" i="36" s="1"/>
  <c r="M78" i="36"/>
  <c r="N78" i="36" s="1"/>
  <c r="M111" i="36"/>
  <c r="N111" i="36" s="1"/>
  <c r="M35" i="36"/>
  <c r="N35" i="36" s="1"/>
  <c r="M79" i="36"/>
  <c r="N79" i="36" s="1"/>
  <c r="M112" i="36"/>
  <c r="N112" i="36" s="1"/>
  <c r="M14" i="36"/>
  <c r="N14" i="36" s="1"/>
  <c r="M36" i="36"/>
  <c r="N36" i="36" s="1"/>
  <c r="M80" i="36"/>
  <c r="N80" i="36" s="1"/>
  <c r="M113" i="36"/>
  <c r="N113" i="36" s="1"/>
  <c r="M153" i="36"/>
  <c r="N153" i="36" s="1"/>
  <c r="M135" i="36"/>
  <c r="N135" i="36" s="1"/>
  <c r="M37" i="36"/>
  <c r="N37" i="36" s="1"/>
  <c r="M81" i="36"/>
  <c r="N81" i="36" s="1"/>
  <c r="M114" i="36"/>
  <c r="N114" i="36" s="1"/>
  <c r="M4" i="36"/>
  <c r="N4" i="36" s="1"/>
  <c r="M38" i="36"/>
  <c r="N38" i="36" s="1"/>
  <c r="M82" i="36"/>
  <c r="N82" i="36" s="1"/>
  <c r="M115" i="36"/>
  <c r="N115" i="36" s="1"/>
  <c r="M133" i="36"/>
  <c r="N133" i="36" s="1"/>
  <c r="M5" i="36"/>
  <c r="N5" i="36" s="1"/>
  <c r="M39" i="36"/>
  <c r="N39" i="36" s="1"/>
  <c r="M83" i="36"/>
  <c r="N83" i="36" s="1"/>
  <c r="M124" i="36"/>
  <c r="N124" i="36" s="1"/>
  <c r="M6" i="36"/>
  <c r="N6" i="36" s="1"/>
  <c r="M41" i="36"/>
  <c r="N41" i="36" s="1"/>
  <c r="M84" i="36"/>
  <c r="N84" i="36" s="1"/>
  <c r="M125" i="36"/>
  <c r="N125" i="36" s="1"/>
  <c r="M157" i="36"/>
  <c r="N157" i="36" s="1"/>
  <c r="M7" i="36"/>
  <c r="N7" i="36" s="1"/>
  <c r="M43" i="36"/>
  <c r="N43" i="36" s="1"/>
  <c r="M85" i="36"/>
  <c r="N85" i="36" s="1"/>
  <c r="M126" i="36"/>
  <c r="N126" i="36" s="1"/>
  <c r="M158" i="36"/>
  <c r="N158" i="36" s="1"/>
  <c r="M8" i="36"/>
  <c r="N8" i="36" s="1"/>
  <c r="M52" i="36"/>
  <c r="N52" i="36" s="1"/>
  <c r="M86" i="36"/>
  <c r="N86" i="36" s="1"/>
  <c r="M127" i="36"/>
  <c r="N127" i="36" s="1"/>
  <c r="M159" i="36"/>
  <c r="N159" i="36" s="1"/>
  <c r="M9" i="36"/>
  <c r="N9" i="36" s="1"/>
  <c r="M53" i="36"/>
  <c r="N53" i="36" s="1"/>
  <c r="M87" i="36"/>
  <c r="N87" i="36" s="1"/>
  <c r="M128" i="36"/>
  <c r="N128" i="36" s="1"/>
  <c r="M160" i="36"/>
  <c r="N160" i="36" s="1"/>
  <c r="M10" i="36"/>
  <c r="N10" i="36" s="1"/>
  <c r="M54" i="36"/>
  <c r="N54" i="36" s="1"/>
  <c r="M88" i="36"/>
  <c r="N88" i="36" s="1"/>
  <c r="M129" i="36"/>
  <c r="N129" i="36" s="1"/>
  <c r="M161" i="36"/>
  <c r="N161" i="36" s="1"/>
  <c r="M11" i="36"/>
  <c r="N11" i="36" s="1"/>
  <c r="M55" i="36"/>
  <c r="N55" i="36" s="1"/>
  <c r="M89" i="36"/>
  <c r="N89" i="36" s="1"/>
  <c r="M130" i="36"/>
  <c r="N130" i="36" s="1"/>
  <c r="M162" i="36"/>
  <c r="N162" i="36" s="1"/>
  <c r="M12" i="36"/>
  <c r="N12" i="36" s="1"/>
  <c r="M56" i="36"/>
  <c r="N56" i="36" s="1"/>
  <c r="M91" i="36"/>
  <c r="N91" i="36" s="1"/>
  <c r="M131" i="36"/>
  <c r="N131" i="36" s="1"/>
  <c r="M163" i="36"/>
  <c r="N163" i="36" s="1"/>
  <c r="M16" i="36"/>
  <c r="N16" i="36" s="1"/>
  <c r="M40" i="36"/>
  <c r="N40" i="36" s="1"/>
  <c r="M64" i="36"/>
  <c r="N64" i="36" s="1"/>
  <c r="M18" i="36"/>
  <c r="N18" i="36" s="1"/>
  <c r="M42" i="36"/>
  <c r="N42" i="36" s="1"/>
  <c r="M66" i="36"/>
  <c r="N66" i="36" s="1"/>
  <c r="M90" i="36"/>
  <c r="N90" i="36" s="1"/>
  <c r="M20" i="36"/>
  <c r="N20" i="36" s="1"/>
  <c r="M44" i="36"/>
  <c r="N44" i="36" s="1"/>
  <c r="M68" i="36"/>
  <c r="N68" i="36" s="1"/>
  <c r="M92" i="36"/>
  <c r="N92" i="36" s="1"/>
  <c r="M116" i="36"/>
  <c r="N116" i="36" s="1"/>
  <c r="M140" i="36"/>
  <c r="N140" i="36" s="1"/>
  <c r="M164" i="36"/>
  <c r="N164" i="36" s="1"/>
  <c r="M21" i="36"/>
  <c r="N21" i="36" s="1"/>
  <c r="M45" i="36"/>
  <c r="N45" i="36" s="1"/>
  <c r="M69" i="36"/>
  <c r="N69" i="36" s="1"/>
  <c r="M93" i="36"/>
  <c r="N93" i="36" s="1"/>
  <c r="M117" i="36"/>
  <c r="N117" i="36" s="1"/>
  <c r="M141" i="36"/>
  <c r="N141" i="36" s="1"/>
  <c r="M165" i="36"/>
  <c r="N165" i="36" s="1"/>
  <c r="M22" i="36"/>
  <c r="N22" i="36" s="1"/>
  <c r="M46" i="36"/>
  <c r="N46" i="36" s="1"/>
  <c r="M70" i="36"/>
  <c r="N70" i="36" s="1"/>
  <c r="M94" i="36"/>
  <c r="N94" i="36" s="1"/>
  <c r="M118" i="36"/>
  <c r="N118" i="36" s="1"/>
  <c r="M142" i="36"/>
  <c r="N142" i="36" s="1"/>
  <c r="M166" i="36"/>
  <c r="N166" i="36" s="1"/>
  <c r="M23" i="36"/>
  <c r="N23" i="36" s="1"/>
  <c r="M47" i="36"/>
  <c r="N47" i="36" s="1"/>
  <c r="M71" i="36"/>
  <c r="N71" i="36" s="1"/>
  <c r="M95" i="36"/>
  <c r="N95" i="36" s="1"/>
  <c r="M119" i="36"/>
  <c r="N119" i="36" s="1"/>
  <c r="M143" i="36"/>
  <c r="N143" i="36" s="1"/>
  <c r="M167" i="36"/>
  <c r="N167" i="36" s="1"/>
  <c r="M24" i="36"/>
  <c r="N24" i="36" s="1"/>
  <c r="M48" i="36"/>
  <c r="N48" i="36" s="1"/>
  <c r="M72" i="36"/>
  <c r="N72" i="36" s="1"/>
  <c r="M96" i="36"/>
  <c r="N96" i="36" s="1"/>
  <c r="M120" i="36"/>
  <c r="N120" i="36" s="1"/>
  <c r="M144" i="36"/>
  <c r="N144" i="36" s="1"/>
  <c r="M168" i="36"/>
  <c r="N168" i="36" s="1"/>
  <c r="M25" i="36"/>
  <c r="N25" i="36" s="1"/>
  <c r="M49" i="36"/>
  <c r="N49" i="36" s="1"/>
  <c r="M73" i="36"/>
  <c r="N73" i="36" s="1"/>
  <c r="M97" i="36"/>
  <c r="N97" i="36" s="1"/>
  <c r="M121" i="36"/>
  <c r="N121" i="36" s="1"/>
  <c r="M145" i="36"/>
  <c r="N145" i="36" s="1"/>
  <c r="M169" i="36"/>
  <c r="N169" i="36" s="1"/>
  <c r="M2" i="36"/>
  <c r="N2" i="36" s="1"/>
  <c r="M26" i="36"/>
  <c r="N26" i="36" s="1"/>
  <c r="M50" i="36"/>
  <c r="N50" i="36" s="1"/>
  <c r="M74" i="36"/>
  <c r="N74" i="36" s="1"/>
  <c r="M98" i="36"/>
  <c r="N98" i="36" s="1"/>
  <c r="M122" i="36"/>
  <c r="N122" i="36" s="1"/>
  <c r="M146" i="36"/>
  <c r="N146" i="36" s="1"/>
  <c r="M170" i="36"/>
  <c r="N170" i="36" s="1"/>
  <c r="M3" i="36"/>
  <c r="N3" i="36" s="1"/>
  <c r="M27" i="36"/>
  <c r="N27" i="36" s="1"/>
  <c r="M51" i="36"/>
  <c r="N51" i="36" s="1"/>
  <c r="M75" i="36"/>
  <c r="N75" i="36" s="1"/>
  <c r="M99" i="36"/>
  <c r="N99" i="36" s="1"/>
  <c r="M123" i="36"/>
  <c r="N123" i="36" s="1"/>
  <c r="M147" i="36"/>
  <c r="N147" i="36" s="1"/>
  <c r="M171" i="36"/>
  <c r="N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65" i="31" l="1"/>
  <c r="H65" i="31"/>
  <c r="K65" i="31" s="1"/>
  <c r="L64" i="31"/>
  <c r="H64" i="31"/>
  <c r="K64" i="31" s="1"/>
  <c r="L63" i="31"/>
  <c r="H63" i="31"/>
  <c r="K63" i="31" s="1"/>
  <c r="L62" i="31"/>
  <c r="H62" i="31"/>
  <c r="K62" i="31" s="1"/>
  <c r="L61" i="31"/>
  <c r="H61" i="31"/>
  <c r="I61" i="31" s="1"/>
  <c r="L60" i="31"/>
  <c r="H60" i="31"/>
  <c r="I60" i="31" s="1"/>
  <c r="L59" i="31"/>
  <c r="H59" i="31"/>
  <c r="K59" i="31" s="1"/>
  <c r="L58" i="31"/>
  <c r="H58" i="31"/>
  <c r="K58" i="31" s="1"/>
  <c r="L57" i="31"/>
  <c r="H57" i="31"/>
  <c r="K57" i="31" s="1"/>
  <c r="L56" i="31"/>
  <c r="H56" i="31"/>
  <c r="K56" i="31" s="1"/>
  <c r="L55" i="31"/>
  <c r="H55" i="31"/>
  <c r="I55" i="31" s="1"/>
  <c r="L54" i="31"/>
  <c r="H54" i="31"/>
  <c r="I54" i="31" s="1"/>
  <c r="L53" i="31"/>
  <c r="H53" i="31"/>
  <c r="K53" i="31" s="1"/>
  <c r="L52" i="31"/>
  <c r="H52" i="31"/>
  <c r="K52" i="31" s="1"/>
  <c r="L51" i="31"/>
  <c r="K51" i="31"/>
  <c r="H51" i="31"/>
  <c r="I51" i="31" s="1"/>
  <c r="L50" i="31"/>
  <c r="H50" i="31"/>
  <c r="K50" i="31" s="1"/>
  <c r="L49" i="31"/>
  <c r="H49" i="31"/>
  <c r="K49" i="31" s="1"/>
  <c r="L48" i="31"/>
  <c r="H48" i="31"/>
  <c r="K48" i="31" s="1"/>
  <c r="L47" i="31"/>
  <c r="H47" i="31"/>
  <c r="K47" i="31" s="1"/>
  <c r="L46" i="31"/>
  <c r="H46" i="31"/>
  <c r="K46" i="31" s="1"/>
  <c r="L45" i="31"/>
  <c r="K45" i="31"/>
  <c r="H45" i="31"/>
  <c r="I45" i="31" s="1"/>
  <c r="L44" i="31"/>
  <c r="H44" i="31"/>
  <c r="K44" i="31" s="1"/>
  <c r="L43" i="31"/>
  <c r="H43" i="31"/>
  <c r="K43" i="31" s="1"/>
  <c r="L42" i="31"/>
  <c r="H42" i="31"/>
  <c r="K42" i="31" s="1"/>
  <c r="L41" i="31"/>
  <c r="H41" i="31"/>
  <c r="K41" i="31" s="1"/>
  <c r="L40" i="31"/>
  <c r="H40" i="31"/>
  <c r="K40" i="31" s="1"/>
  <c r="L39" i="31"/>
  <c r="K39" i="31"/>
  <c r="H39" i="31"/>
  <c r="I39" i="31" s="1"/>
  <c r="L38" i="31"/>
  <c r="H38" i="31"/>
  <c r="K38" i="31" s="1"/>
  <c r="L37" i="31"/>
  <c r="H37" i="31"/>
  <c r="K37" i="31" s="1"/>
  <c r="L36" i="31"/>
  <c r="H36" i="31"/>
  <c r="I36" i="31" s="1"/>
  <c r="L35" i="31"/>
  <c r="H35" i="31"/>
  <c r="K35" i="31" s="1"/>
  <c r="L33" i="31"/>
  <c r="H33" i="31"/>
  <c r="K33" i="31" s="1"/>
  <c r="L32" i="31"/>
  <c r="H32" i="31"/>
  <c r="K32" i="31" s="1"/>
  <c r="L31" i="31"/>
  <c r="H31" i="31"/>
  <c r="K31" i="31" s="1"/>
  <c r="L30" i="31"/>
  <c r="H30" i="31"/>
  <c r="K30" i="31" s="1"/>
  <c r="L29" i="31"/>
  <c r="H29" i="31"/>
  <c r="K29" i="31" s="1"/>
  <c r="L28" i="31"/>
  <c r="H28" i="31"/>
  <c r="I28" i="31" s="1"/>
  <c r="L27" i="31"/>
  <c r="H27" i="31"/>
  <c r="K27" i="31" s="1"/>
  <c r="L26" i="31"/>
  <c r="H26" i="31"/>
  <c r="K26" i="31" s="1"/>
  <c r="H24" i="31"/>
  <c r="I24" i="31" s="1"/>
  <c r="H22" i="31"/>
  <c r="I22" i="31" s="1"/>
  <c r="H21" i="31"/>
  <c r="I21" i="31" s="1"/>
  <c r="H20" i="31"/>
  <c r="I20" i="31" s="1"/>
  <c r="H19" i="31"/>
  <c r="I19" i="31" s="1"/>
  <c r="L18" i="31"/>
  <c r="H9" i="31"/>
  <c r="I9" i="31" s="1"/>
  <c r="H7" i="31"/>
  <c r="I7" i="31" s="1"/>
  <c r="H4" i="31"/>
  <c r="K4" i="31" s="1"/>
  <c r="H3" i="31"/>
  <c r="I3" i="31" s="1"/>
  <c r="H2" i="31"/>
  <c r="I2" i="31" s="1"/>
  <c r="L3" i="1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D49" i="31"/>
  <c r="E49" i="31"/>
  <c r="F49" i="31"/>
  <c r="D50" i="31"/>
  <c r="E50" i="31"/>
  <c r="F50" i="31"/>
  <c r="D51" i="31"/>
  <c r="E51" i="31"/>
  <c r="F51" i="31"/>
  <c r="D52" i="31"/>
  <c r="E52" i="31"/>
  <c r="F52" i="31"/>
  <c r="D53" i="31"/>
  <c r="E53" i="31"/>
  <c r="F53" i="31"/>
  <c r="D54" i="31"/>
  <c r="E54" i="31"/>
  <c r="F54" i="31"/>
  <c r="D55" i="31"/>
  <c r="E55" i="31"/>
  <c r="F55" i="31"/>
  <c r="D56" i="31"/>
  <c r="E56" i="31"/>
  <c r="F56" i="31"/>
  <c r="D57" i="31"/>
  <c r="E57" i="31"/>
  <c r="F57" i="31"/>
  <c r="D58" i="31"/>
  <c r="E58" i="31"/>
  <c r="F58" i="31"/>
  <c r="D59" i="31"/>
  <c r="E59" i="31"/>
  <c r="F59" i="31"/>
  <c r="D60" i="31"/>
  <c r="E60" i="31"/>
  <c r="F60" i="31"/>
  <c r="D61" i="31"/>
  <c r="E61" i="31"/>
  <c r="F61" i="31"/>
  <c r="D62" i="31"/>
  <c r="E62" i="31"/>
  <c r="F62" i="31"/>
  <c r="D63" i="31"/>
  <c r="E63" i="31"/>
  <c r="F63" i="31"/>
  <c r="D64" i="31"/>
  <c r="E64" i="31"/>
  <c r="F64" i="31"/>
  <c r="D65" i="31"/>
  <c r="E65" i="31"/>
  <c r="F65" i="31"/>
  <c r="H34" i="31"/>
  <c r="I34" i="31" s="1"/>
  <c r="H25" i="31"/>
  <c r="I25" i="31" s="1"/>
  <c r="H23" i="31"/>
  <c r="I23" i="31" s="1"/>
  <c r="H14" i="31"/>
  <c r="K14" i="3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H17" i="31"/>
  <c r="K17" i="31" s="1"/>
  <c r="H16" i="31"/>
  <c r="K16" i="31" s="1"/>
  <c r="H15" i="31"/>
  <c r="K15" i="31" s="1"/>
  <c r="H13" i="31"/>
  <c r="K13" i="31" s="1"/>
  <c r="H12" i="31"/>
  <c r="K12" i="31" s="1"/>
  <c r="H11" i="31"/>
  <c r="K11" i="31" s="1"/>
  <c r="H10" i="31"/>
  <c r="K10" i="31" s="1"/>
  <c r="H8" i="31"/>
  <c r="I8" i="31" s="1"/>
  <c r="H6" i="31"/>
  <c r="K6" i="31" s="1"/>
  <c r="H5" i="31"/>
  <c r="K5" i="31" s="1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E2" i="24"/>
  <c r="H58" i="24"/>
  <c r="H56" i="24"/>
  <c r="H55" i="24"/>
  <c r="H54" i="24"/>
  <c r="H53" i="24"/>
  <c r="H52" i="24"/>
  <c r="H46" i="24"/>
  <c r="H45" i="24"/>
  <c r="H39" i="24"/>
  <c r="H38" i="24"/>
  <c r="H37" i="24"/>
  <c r="H36" i="24"/>
  <c r="H35" i="24"/>
  <c r="H34" i="24"/>
  <c r="H33" i="24"/>
  <c r="H32" i="24"/>
  <c r="H30" i="24"/>
  <c r="H26" i="24"/>
  <c r="H25" i="24"/>
  <c r="H21" i="24"/>
  <c r="H19" i="24"/>
  <c r="H18" i="24"/>
  <c r="H17" i="24"/>
  <c r="H16" i="24"/>
  <c r="H15" i="24"/>
  <c r="H14" i="24"/>
  <c r="H13" i="24"/>
  <c r="H12" i="24"/>
  <c r="H10" i="24"/>
  <c r="H6" i="24"/>
  <c r="H5" i="24"/>
  <c r="I56" i="24"/>
  <c r="I55" i="24"/>
  <c r="I54" i="24"/>
  <c r="I53" i="24"/>
  <c r="I52" i="24"/>
  <c r="I51" i="24"/>
  <c r="I50" i="24"/>
  <c r="I46" i="24"/>
  <c r="I45" i="24"/>
  <c r="I44" i="24"/>
  <c r="I43" i="24"/>
  <c r="I41" i="24"/>
  <c r="I39" i="24"/>
  <c r="I37" i="24"/>
  <c r="I36" i="24"/>
  <c r="I35" i="24"/>
  <c r="I34" i="24"/>
  <c r="I33" i="24"/>
  <c r="I32" i="24"/>
  <c r="I31" i="24"/>
  <c r="I30" i="24"/>
  <c r="I28" i="24"/>
  <c r="I26" i="24"/>
  <c r="I25" i="24"/>
  <c r="I24" i="24"/>
  <c r="I23" i="24"/>
  <c r="I21" i="24"/>
  <c r="I19" i="24"/>
  <c r="I17" i="24"/>
  <c r="I16" i="24"/>
  <c r="I15" i="24"/>
  <c r="I14" i="24"/>
  <c r="I13" i="24"/>
  <c r="I12" i="24"/>
  <c r="I11" i="24"/>
  <c r="I10" i="24"/>
  <c r="I8" i="24"/>
  <c r="I6" i="24"/>
  <c r="I5" i="24"/>
  <c r="I4" i="24"/>
  <c r="I3" i="24"/>
  <c r="C59" i="24"/>
  <c r="H59" i="24" s="1"/>
  <c r="C58" i="24"/>
  <c r="I58" i="24" s="1"/>
  <c r="C57" i="24"/>
  <c r="H57" i="24" s="1"/>
  <c r="C56" i="24"/>
  <c r="C55" i="24"/>
  <c r="C54" i="24"/>
  <c r="C53" i="24"/>
  <c r="C52" i="24"/>
  <c r="C51" i="24"/>
  <c r="H51" i="24" s="1"/>
  <c r="C50" i="24"/>
  <c r="H50" i="24" s="1"/>
  <c r="C49" i="24"/>
  <c r="I49" i="24" s="1"/>
  <c r="C48" i="24"/>
  <c r="I48" i="24" s="1"/>
  <c r="C47" i="24"/>
  <c r="I47" i="24" s="1"/>
  <c r="C46" i="24"/>
  <c r="C45" i="24"/>
  <c r="C44" i="24"/>
  <c r="H44" i="24" s="1"/>
  <c r="C43" i="24"/>
  <c r="H43" i="24" s="1"/>
  <c r="C42" i="24"/>
  <c r="H42" i="24" s="1"/>
  <c r="C41" i="24"/>
  <c r="H41" i="24" s="1"/>
  <c r="C40" i="24"/>
  <c r="I40" i="24" s="1"/>
  <c r="C39" i="24"/>
  <c r="C38" i="24"/>
  <c r="I38" i="24" s="1"/>
  <c r="C37" i="24"/>
  <c r="C36" i="24"/>
  <c r="C35" i="24"/>
  <c r="C34" i="24"/>
  <c r="C33" i="24"/>
  <c r="C32" i="24"/>
  <c r="C31" i="24"/>
  <c r="H31" i="24" s="1"/>
  <c r="C30" i="24"/>
  <c r="C29" i="24"/>
  <c r="I29" i="24" s="1"/>
  <c r="C28" i="24"/>
  <c r="H28" i="24" s="1"/>
  <c r="C27" i="24"/>
  <c r="I27" i="24" s="1"/>
  <c r="C26" i="24"/>
  <c r="C25" i="24"/>
  <c r="C24" i="24"/>
  <c r="H24" i="24" s="1"/>
  <c r="C23" i="24"/>
  <c r="H23" i="24" s="1"/>
  <c r="C22" i="24"/>
  <c r="H22" i="24" s="1"/>
  <c r="C21" i="24"/>
  <c r="C20" i="24"/>
  <c r="I20" i="24" s="1"/>
  <c r="C19" i="24"/>
  <c r="C18" i="24"/>
  <c r="I18" i="24" s="1"/>
  <c r="C17" i="24"/>
  <c r="C16" i="24"/>
  <c r="C15" i="24"/>
  <c r="C14" i="24"/>
  <c r="C13" i="24"/>
  <c r="C12" i="24"/>
  <c r="C11" i="24"/>
  <c r="H11" i="24" s="1"/>
  <c r="C10" i="24"/>
  <c r="C9" i="24"/>
  <c r="I9" i="24" s="1"/>
  <c r="C8" i="24"/>
  <c r="H8" i="24" s="1"/>
  <c r="C7" i="24"/>
  <c r="I7" i="24" s="1"/>
  <c r="C6" i="24"/>
  <c r="C5" i="24"/>
  <c r="C4" i="24"/>
  <c r="H4" i="24" s="1"/>
  <c r="C3" i="24"/>
  <c r="H3" i="24" s="1"/>
  <c r="C2" i="24"/>
  <c r="H2" i="24" s="1"/>
  <c r="L34" i="31"/>
  <c r="L25" i="31"/>
  <c r="L24" i="31"/>
  <c r="L23" i="31"/>
  <c r="L22" i="31"/>
  <c r="L21" i="31"/>
  <c r="L20" i="31"/>
  <c r="L19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L2" i="3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I49" i="31"/>
  <c r="K61" i="31"/>
  <c r="I43" i="31"/>
  <c r="I38" i="31"/>
  <c r="I44" i="31"/>
  <c r="I50" i="31"/>
  <c r="I56" i="31"/>
  <c r="I62" i="31"/>
  <c r="I48" i="31"/>
  <c r="K54" i="31"/>
  <c r="K36" i="31"/>
  <c r="I37" i="31"/>
  <c r="I57" i="31"/>
  <c r="I63" i="31"/>
  <c r="I42" i="31"/>
  <c r="K60" i="31"/>
  <c r="I40" i="31"/>
  <c r="I46" i="31"/>
  <c r="I52" i="31"/>
  <c r="I58" i="31"/>
  <c r="I64" i="31"/>
  <c r="K55" i="31"/>
  <c r="I35" i="31"/>
  <c r="I41" i="31"/>
  <c r="I47" i="31"/>
  <c r="I53" i="31"/>
  <c r="I59" i="31"/>
  <c r="I65" i="31"/>
  <c r="K28" i="31"/>
  <c r="I31" i="31"/>
  <c r="I30" i="31"/>
  <c r="I26" i="31"/>
  <c r="I32" i="31"/>
  <c r="I29" i="31"/>
  <c r="I27" i="31"/>
  <c r="I33" i="31"/>
  <c r="H18" i="31"/>
  <c r="K18" i="3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K19" i="31"/>
  <c r="I10" i="31"/>
  <c r="I13" i="31"/>
  <c r="I11" i="31"/>
  <c r="I17" i="31"/>
  <c r="I12" i="31"/>
  <c r="I14" i="31"/>
  <c r="I15" i="31"/>
  <c r="I18" i="31"/>
  <c r="I16" i="31"/>
  <c r="I6" i="31"/>
  <c r="I5" i="31"/>
  <c r="I4" i="31"/>
  <c r="K21" i="31"/>
  <c r="K22" i="31"/>
  <c r="K23" i="31"/>
  <c r="K24" i="31"/>
  <c r="K25" i="31"/>
  <c r="K2" i="31"/>
  <c r="K3" i="31"/>
  <c r="K7" i="31"/>
  <c r="K8" i="31"/>
  <c r="K20" i="31"/>
  <c r="K9" i="31"/>
  <c r="K34" i="31"/>
  <c r="I57" i="24"/>
  <c r="I59" i="24"/>
  <c r="I2" i="24"/>
  <c r="I22" i="24"/>
  <c r="I42" i="24"/>
  <c r="H7" i="24"/>
  <c r="H27" i="24"/>
  <c r="H47" i="24"/>
  <c r="H48" i="24"/>
  <c r="H9" i="24"/>
  <c r="H29" i="24"/>
  <c r="H49" i="24"/>
  <c r="H20" i="24"/>
  <c r="H40" i="24"/>
  <c r="F48" i="31"/>
  <c r="E48" i="31"/>
  <c r="D48" i="31"/>
  <c r="F47" i="31"/>
  <c r="E47" i="31"/>
  <c r="D47" i="31"/>
  <c r="F46" i="31"/>
  <c r="E46" i="31"/>
  <c r="D46" i="31"/>
  <c r="F45" i="31"/>
  <c r="E45" i="31"/>
  <c r="D45" i="31"/>
  <c r="F44" i="31"/>
  <c r="E44" i="31"/>
  <c r="D44" i="31"/>
  <c r="F43" i="31"/>
  <c r="E43" i="31"/>
  <c r="D43" i="31"/>
  <c r="F42" i="31"/>
  <c r="E42" i="31"/>
  <c r="D42" i="31"/>
  <c r="F41" i="31"/>
  <c r="E41" i="31"/>
  <c r="D41" i="31"/>
  <c r="F40" i="31"/>
  <c r="E40" i="31"/>
  <c r="D40" i="31"/>
  <c r="F39" i="31"/>
  <c r="E39" i="31"/>
  <c r="D39" i="31"/>
  <c r="F38" i="31"/>
  <c r="E38" i="31"/>
  <c r="D38" i="31"/>
  <c r="F37" i="31"/>
  <c r="E37" i="31"/>
  <c r="D37" i="31"/>
  <c r="F36" i="31"/>
  <c r="E36" i="31"/>
  <c r="D36" i="31"/>
  <c r="F35" i="31"/>
  <c r="E35" i="31"/>
  <c r="D35" i="31"/>
  <c r="F34" i="31"/>
  <c r="E34" i="31"/>
  <c r="D34" i="31"/>
  <c r="F33" i="31"/>
  <c r="E33" i="31"/>
  <c r="D33" i="31"/>
  <c r="F32" i="31"/>
  <c r="E32" i="31"/>
  <c r="D32" i="31"/>
  <c r="F31" i="31"/>
  <c r="E31" i="31"/>
  <c r="D31" i="31"/>
  <c r="F30" i="31"/>
  <c r="E30" i="31"/>
  <c r="D30" i="31"/>
  <c r="F29" i="31"/>
  <c r="E29" i="31"/>
  <c r="D29" i="31"/>
  <c r="F28" i="31"/>
  <c r="E28" i="31"/>
  <c r="D28" i="31"/>
  <c r="F27" i="31"/>
  <c r="E27" i="31"/>
  <c r="D27" i="31"/>
  <c r="F26" i="31"/>
  <c r="E26" i="31"/>
  <c r="D26" i="31"/>
  <c r="F25" i="31"/>
  <c r="E25" i="31"/>
  <c r="D25" i="31"/>
  <c r="F24" i="31"/>
  <c r="E24" i="31"/>
  <c r="D24" i="31"/>
  <c r="F23" i="31"/>
  <c r="E23" i="31"/>
  <c r="D23" i="31"/>
  <c r="F22" i="31"/>
  <c r="E22" i="31"/>
  <c r="D22" i="31"/>
  <c r="F21" i="31"/>
  <c r="E21" i="31"/>
  <c r="D21" i="31"/>
  <c r="F20" i="31"/>
  <c r="E20" i="31"/>
  <c r="D20" i="31"/>
  <c r="F19" i="31"/>
  <c r="E19" i="31"/>
  <c r="D19" i="31"/>
  <c r="F18" i="31"/>
  <c r="E18" i="31"/>
  <c r="D18" i="31"/>
  <c r="F17" i="31"/>
  <c r="E17" i="31"/>
  <c r="D17" i="31"/>
  <c r="F16" i="31"/>
  <c r="E16" i="31"/>
  <c r="D16" i="31"/>
  <c r="F15" i="31"/>
  <c r="E15" i="31"/>
  <c r="D15" i="31"/>
  <c r="F14" i="31"/>
  <c r="E14" i="31"/>
  <c r="D14" i="31"/>
  <c r="F13" i="31"/>
  <c r="E13" i="31"/>
  <c r="D13" i="31"/>
  <c r="F12" i="31"/>
  <c r="E12" i="31"/>
  <c r="D12" i="31"/>
  <c r="F11" i="31"/>
  <c r="E11" i="31"/>
  <c r="D11" i="31"/>
  <c r="F10" i="31"/>
  <c r="E10" i="31"/>
  <c r="D10" i="31"/>
  <c r="F9" i="31"/>
  <c r="E9" i="31"/>
  <c r="D9" i="31"/>
  <c r="F8" i="31"/>
  <c r="E8" i="31"/>
  <c r="D8" i="31"/>
  <c r="F7" i="31"/>
  <c r="E7" i="31"/>
  <c r="D7" i="31"/>
  <c r="F6" i="31"/>
  <c r="E6" i="31"/>
  <c r="D6" i="31"/>
  <c r="F5" i="31"/>
  <c r="E5" i="31"/>
  <c r="D5" i="31"/>
  <c r="F4" i="31"/>
  <c r="E4" i="31"/>
  <c r="D4" i="31"/>
  <c r="F3" i="31"/>
  <c r="E3" i="31"/>
  <c r="D3" i="31"/>
  <c r="F2" i="31"/>
  <c r="E2" i="31"/>
  <c r="D2" i="3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<sst xmlns="http://schemas.openxmlformats.org/spreadsheetml/2006/main" count="3150" uniqueCount="1188">
  <si>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</si>
  <si>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</si>
  <si>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</si>
  <si>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</si>
  <si>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</si>
  <si>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</si>
  <si>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</si>
  <si>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</si>
  <si>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</si>
  <si>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</si>
  <si>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</si>
  <si>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</si>
  <si>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</si>
  <si>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</si>
  <si>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</si>
  <si>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</si>
  <si>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</si>
  <si>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</si>
  <si>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</si>
  <si>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</si>
  <si>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</si>
  <si>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</si>
  <si>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</si>
  <si>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CAS</t>
  </si>
  <si>
    <t>IN0101</t>
  </si>
  <si>
    <t>IN0102</t>
  </si>
  <si>
    <t>IN0103</t>
  </si>
  <si>
    <t>IN0200</t>
  </si>
  <si>
    <t>IN0201</t>
  </si>
  <si>
    <t>IN0202</t>
  </si>
  <si>
    <t>IN0203</t>
  </si>
  <si>
    <t>ESTOPS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</si>
  <si>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</si>
  <si>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</si>
  <si>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</si>
  <si>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</si>
  <si>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</si>
  <si>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</si>
  <si>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</si>
  <si>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</si>
  <si>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</si>
  <si>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</si>
  <si>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</si>
  <si>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</si>
  <si>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</si>
  <si>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</si>
  <si>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</si>
  <si>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</si>
  <si>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</si>
  <si>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</si>
  <si>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</si>
  <si>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</si>
  <si>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</si>
  <si>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</si>
  <si>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</si>
  <si>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</si>
  <si>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</si>
  <si>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</si>
  <si>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</si>
  <si>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</si>
  <si>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</si>
  <si>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</si>
  <si>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</si>
  <si>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</si>
  <si>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</si>
  <si>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</si>
  <si>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</si>
  <si>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</si>
  <si>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</si>
  <si>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</si>
  <si>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</si>
  <si>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</si>
  <si>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</si>
  <si>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</si>
  <si>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</si>
  <si>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</si>
  <si>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</si>
  <si>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</si>
  <si>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</si>
  <si>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</si>
  <si>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</si>
  <si>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</si>
  <si>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</si>
  <si>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</si>
  <si>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</si>
  <si>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</si>
  <si>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</si>
  <si>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</si>
  <si>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</si>
  <si>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</si>
  <si>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</si>
  <si>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</si>
  <si>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</si>
  <si>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</si>
  <si>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</si>
  <si>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</si>
  <si>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</si>
  <si>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</si>
  <si>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</si>
  <si>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</si>
  <si>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</si>
  <si>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</si>
  <si>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</si>
  <si>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</si>
  <si>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</si>
  <si>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</si>
  <si>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</si>
  <si>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</si>
  <si>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</si>
  <si>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</si>
  <si>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</si>
  <si>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</si>
  <si>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</si>
  <si>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</si>
  <si>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</si>
  <si>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</si>
  <si>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</si>
  <si>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</si>
  <si>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</si>
  <si>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</si>
  <si>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</si>
  <si>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</si>
  <si>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</si>
  <si>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</si>
  <si>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</si>
  <si>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</si>
  <si>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</si>
  <si>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</si>
  <si>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</si>
  <si>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</si>
  <si>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</si>
  <si>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</si>
  <si>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</si>
  <si>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</si>
  <si>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</si>
  <si>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</si>
  <si>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</si>
  <si>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</si>
  <si>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</si>
  <si>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</si>
  <si>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</si>
  <si>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</si>
  <si>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</si>
  <si>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</si>
  <si>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</si>
  <si>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</si>
  <si>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</si>
  <si>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</si>
  <si>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</si>
  <si>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</si>
  <si>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</si>
  <si>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</si>
  <si>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</si>
  <si>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</si>
  <si>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</si>
  <si>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</si>
  <si>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</si>
  <si>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</si>
  <si>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</si>
  <si>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</si>
  <si>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</si>
  <si>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</si>
  <si>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</si>
  <si>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</si>
  <si>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</si>
  <si>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</si>
  <si>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</si>
  <si>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</si>
  <si>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</si>
  <si>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</si>
  <si>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</si>
  <si>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</si>
  <si>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</si>
  <si>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</si>
  <si>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</si>
  <si>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</si>
  <si>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</si>
  <si>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</si>
  <si>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</si>
  <si>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</si>
  <si>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</si>
  <si>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</si>
  <si>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</si>
  <si>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</si>
  <si>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</si>
  <si>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</si>
  <si>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</si>
  <si>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</si>
  <si>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</si>
  <si>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</si>
  <si>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</si>
  <si>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</si>
  <si>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</si>
  <si>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</si>
  <si>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</si>
  <si>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</si>
  <si>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</si>
  <si>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Platform</t>
  </si>
  <si>
    <t>GVL_Alarms.EMERGENCY_STOP_COMMON</t>
  </si>
  <si>
    <t>Emercencey Stop Active</t>
  </si>
  <si>
    <t>Error</t>
  </si>
  <si>
    <t>GVL_Alarms.EMERGENCY_STOP_DRIVER</t>
  </si>
  <si>
    <t>Driver E-Stop Button Pressed</t>
  </si>
  <si>
    <t>GVL_Alarms.EMERGENCY_STOP_CHASSIS_LEFT</t>
  </si>
  <si>
    <t>Left Chassis E-Stop Button Pressed</t>
  </si>
  <si>
    <t>GVL_Alarms.EMERGENCY_STOP_CHASSIS_RIGHT</t>
  </si>
  <si>
    <t>Right Cabin E-Stop Button Pressed</t>
  </si>
  <si>
    <t>GVL_Alarms.EMERGENCY_STOP_CABIN</t>
  </si>
  <si>
    <t>Cabin E-Stop Button Pressed</t>
  </si>
  <si>
    <t>GVL_Alarms.EMERGENCY_STOP_REAR</t>
  </si>
  <si>
    <t>Rear E-Stop Button Pressed</t>
  </si>
  <si>
    <t>GVL_Alarms.EMERGENCY_STOP_Platform</t>
  </si>
  <si>
    <t>Platform E-Stop Button Pressed</t>
  </si>
  <si>
    <t>GVL_Alarms.ETHERNET_PLC_COMMON_FAILURE</t>
  </si>
  <si>
    <t>Ethernet Common Failure</t>
  </si>
  <si>
    <t>GVL_Alarms.ETHERNET_DICP_PLC_MISSING</t>
  </si>
  <si>
    <t>Ethernet DICP Missing on Power Up</t>
  </si>
  <si>
    <t>GVL_Alarms.ETHERNET_CHASSIS_PLC_MISSING</t>
  </si>
  <si>
    <t>Ethernet Chassis Missing on Power Up</t>
  </si>
  <si>
    <t>GVL_Alarms.ETHERNET_CABIN_PLC_MISSING</t>
  </si>
  <si>
    <t>Ethernet Cabin Missing on Power Up</t>
  </si>
  <si>
    <t>GVL_Alarms.Mains_Pump_Failed_To_RUN</t>
  </si>
  <si>
    <t>Mains Motor Fail To RUN</t>
  </si>
  <si>
    <t>Hydrualics</t>
  </si>
  <si>
    <t>GVL_Alarms.Leuze_Sensors_Lockout_Mode</t>
  </si>
  <si>
    <t>Docking (Leuze Sensors) Lockout Mode</t>
  </si>
  <si>
    <t>GVL_Alarms.Safety_Edge_Lockout_Mode</t>
  </si>
  <si>
    <t>Safety Edge Lockout Mode</t>
  </si>
  <si>
    <t>CAS Camera O3M Fault</t>
  </si>
  <si>
    <t>GVL_Alarms.STUCK_ON_PU.BITS.CAS_Reset_Button</t>
  </si>
  <si>
    <t>CAS Reset Button stuck ON during power up</t>
  </si>
  <si>
    <t>Power Up Checks</t>
  </si>
  <si>
    <t>GVL_Alarms.STUCK_ON_PU.BITS.Chassis_Deadman_Button</t>
  </si>
  <si>
    <t>Chassis Deadman Button stuck ON during power up</t>
  </si>
  <si>
    <t>GVL_Alarms.STUCK_ON_PU.BITS.Chassis_Cabin_Raise_Button</t>
  </si>
  <si>
    <t>Chassis Cabin Raise Button stuck ON during power up</t>
  </si>
  <si>
    <t>GVL_Alarms.STUCK_ON_PU.BITS.Chassis_Cabin_Lower_Button</t>
  </si>
  <si>
    <t>Chassis Cabin Lower Button stuck ON during power up</t>
  </si>
  <si>
    <t>GVL_Alarms.STUCK_ON_PU.BITS.Chassis_Jacklegs_Raise_Button</t>
  </si>
  <si>
    <t>Chassis Jacklegs Raise Button stuck ON during power up</t>
  </si>
  <si>
    <t>GVL_Alarms.STUCK_ON_PU.BITS.Chassis_Jacklegs_Lower_Button</t>
  </si>
  <si>
    <t>Chassis Jacklegs Lower Button stuck ON during power up</t>
  </si>
  <si>
    <t>GVL_Alarms.STUCK_ON_PU.BITS.Chassis_Engine_Restart_Button</t>
  </si>
  <si>
    <t>Chassis Engine Restart Button stuck ON during power up</t>
  </si>
  <si>
    <t>GVL_Alarms.STUCK_ON_PU.BITS.Chassis_DC_Pump_Button</t>
  </si>
  <si>
    <t>Chassis DC Pump Button stuck ON during power up</t>
  </si>
  <si>
    <t>GVL_Alarms.STUCK_ON_PU.BITS.Chassis_Platform_Tilt_Left_Button</t>
  </si>
  <si>
    <t>Chassis Platform Tilt Left Button stuck ON during power up</t>
  </si>
  <si>
    <t>GVL_Alarms.STUCK_ON_PU.BITS.Chassis_Platform_Tilt_Right_Button</t>
  </si>
  <si>
    <t>Chassis Platform Tilt Right Button stuck ON during power up</t>
  </si>
  <si>
    <t>GVL_Alarms.STUCK_ON_PU.BITS.Cabin_Deadman_Button</t>
  </si>
  <si>
    <t>Cabin Deadman Button stuck ON during power up</t>
  </si>
  <si>
    <t>GVL_Alarms.STUCK_ON_PU.BITS.Rear_Door_Raise_Button</t>
  </si>
  <si>
    <t>Rear Door Raise Button stuck ON during power up</t>
  </si>
  <si>
    <t>GVL_Alarms.STUCK_ON_PU.BITS.Rear_Door_Lower_Button</t>
  </si>
  <si>
    <t>Rear Door Lower Button stuck ON during power up</t>
  </si>
  <si>
    <t>GVL_Alarms.STUCK_ON_PU.BITS.Front_Door_Raise_Button</t>
  </si>
  <si>
    <t>Front Door Raise Button stuck ON during power up</t>
  </si>
  <si>
    <t>GVL_Alarms.STUCK_ON_PU.BITS.Front_Door_Lower_Button</t>
  </si>
  <si>
    <t>Front Door Lower Button stuck ON during power up</t>
  </si>
  <si>
    <t>GVL_Alarms.STUCK_ON_PU.BITS.Platform_Extend_Button</t>
  </si>
  <si>
    <t>Platform Extend Button stuck ON during power up</t>
  </si>
  <si>
    <t>GVL_Alarms.STUCK_ON_PU.BITS.Platform_Retract_Button</t>
  </si>
  <si>
    <t>Platform Retract Button stuck ON during power up</t>
  </si>
  <si>
    <t>GVL_Alarms.STUCK_ON_PU.BITS.Platform_Engine_Restart_Button</t>
  </si>
  <si>
    <t>Platform Engine Restart Button stuck ON during power up</t>
  </si>
  <si>
    <t>GVL_Alarms.STUCK_ON_PU.BITS.Cabin_Local_Raise_Button</t>
  </si>
  <si>
    <t>Cabin Local Raise Button stuck ON during power up</t>
  </si>
  <si>
    <t>GVL_Alarms.STUCK_ON_PU.BITS.Cabin_Local_Lower_Button</t>
  </si>
  <si>
    <t>Cabin Local Lower Button stuck ON during power up</t>
  </si>
  <si>
    <t>GVL_Alarms.STUCK_ON_PU.BITS.Platform_Jacklegs_Lower_Button</t>
  </si>
  <si>
    <t>Platform Jacklegs Lower Button stuck ON during power up</t>
  </si>
  <si>
    <t>GVL_Alarms.STUCK_ON_PU.BITS.Bellows_Extend_Button</t>
  </si>
  <si>
    <t>Bellows Extend Button stuck ON during power up</t>
  </si>
  <si>
    <t>GVL_Alarms.STUCK_ON_PU.BITS.Bellows_Retract_Button</t>
  </si>
  <si>
    <t>Bellows Retract Button stuck ON during power up</t>
  </si>
  <si>
    <t>GVL_Alarms.STUCK_ON_PU.BITS.Platform_Deadman_Button</t>
  </si>
  <si>
    <t>Platform Deadman Button stuck ON during power up</t>
  </si>
  <si>
    <t>GVL_Alarms.STUCK_ON_PU.BITS.Platform_DC_Pump_Button</t>
  </si>
  <si>
    <t>Platform DC Pump Button stuck ON during power up</t>
  </si>
  <si>
    <t>GVL_Alarms.STUCK_ON_PU.BITS.Rear_Deadman_Button</t>
  </si>
  <si>
    <t>Rear Deadman Button stuck ON during power up</t>
  </si>
  <si>
    <t>GVL_Alarms.ETHERNET_DICP_PLC_ERROR_LT</t>
  </si>
  <si>
    <t>ETHERNET_DICP_PLC_ERROR_LT</t>
  </si>
  <si>
    <t>GVL_Alarms.ETHERNET_CABIN_PLC_ERROR_LT</t>
  </si>
  <si>
    <t>ETHERNET_CABIN_PLC_ERROR_LT</t>
  </si>
  <si>
    <t>GVL_Alarms.ETHERNET_CHASSIS_PLC_ERROR_LT</t>
  </si>
  <si>
    <t>ETHERNET_CHASSIS_PLC_ERROR_LT</t>
  </si>
  <si>
    <t>Commications</t>
  </si>
  <si>
    <t>Warning</t>
  </si>
  <si>
    <t>GVL_Alarms.Battery_Voltage_Warning</t>
  </si>
  <si>
    <t>Battery Voltage Warning</t>
  </si>
  <si>
    <t>Battery</t>
  </si>
  <si>
    <t>INPUT</t>
  </si>
  <si>
    <t>OUTPUT</t>
  </si>
  <si>
    <t>GROUP</t>
  </si>
  <si>
    <t>Machine_IO.CHASSIS_Inputs.EStop_Safety_Relay_Signal</t>
  </si>
  <si>
    <t>Machine_IO.CHASSIS_Inputs.Chassis_Override_Switch</t>
  </si>
  <si>
    <t>Machine_IO.CHASSIS_Inputs.Chassis_Deadman_Button</t>
  </si>
  <si>
    <t>Machine_IO.CHASSIS_Inputs.Chassis_Cabin_Raise_Button</t>
  </si>
  <si>
    <t>Machine_IO.CHASSIS_Inputs.Chassis_Cabin_Lower_Button</t>
  </si>
  <si>
    <t>Machine_IO.CHASSIS_Inputs.Chassis_Jacklegs_Raise_Button</t>
  </si>
  <si>
    <t>Machine_IO.CHASSIS_Inputs.Chassis_Jacklegs_Lower_Button</t>
  </si>
  <si>
    <t>Machine_IO.CHASSIS_Inputs.Chassis_Engine_Restart_Button</t>
  </si>
  <si>
    <t>Machine_IO.CHASSIS_Inputs.EStop_Chassis_Left_Button</t>
  </si>
  <si>
    <t>Machine_IO.CHASSIS_Inputs.Chassis_DC_Pump_Button</t>
  </si>
  <si>
    <t>Machine_IO.CHASSIS_Inputs.Jacklegs_Pressure_Switch</t>
  </si>
  <si>
    <t>Machine_IO.CHASSIS_Inputs.Mains_Cable_Stowed_Switch</t>
  </si>
  <si>
    <t>Machine_IO.CHASSIS_Inputs.Jacklegs_Front_Stowed_Signal</t>
  </si>
  <si>
    <t>Machine_IO.CHASSIS_Inputs.Jacklegs_Rear_Stowed_Signal</t>
  </si>
  <si>
    <t>Machine_IO.CHASSIS_Inputs.Cabin_Part_Raised_Signal</t>
  </si>
  <si>
    <t>Machine_IO.CHASSIS_Inputs.Cabin_Max_Height_Signal</t>
  </si>
  <si>
    <t>Machine_IO.CHASSIS_Inputs.Cabin_Lower_Limit_Signal</t>
  </si>
  <si>
    <t>Machine_IO.CHASSIS_Inputs.Cabin_Stowed_Signal</t>
  </si>
  <si>
    <t>Machine_IO.CHASSIS_Inputs.Mains_Phases_Good_Signal</t>
  </si>
  <si>
    <t>Machine_IO.CHASSIS_Inputs.Mains_Hyd_Pump_Running</t>
  </si>
  <si>
    <t>Machine_IO.CHASSIS_Inputs.Chassis_Platform_Tilt_Left_Button</t>
  </si>
  <si>
    <t>Machine_IO.CHASSIS_Inputs.Chassis_Platform_Tilt_Right_Button</t>
  </si>
  <si>
    <t>Machine_IO.CHASSIS_Inputs.Chassis_Engine_Stop_Button</t>
  </si>
  <si>
    <t>Machine_IO.CHASSIS_Inputs.EStop_Chassis_Right_Button</t>
  </si>
  <si>
    <t>Machine_IO.CHASSIS_Outputs.Cabin_Panel_Active_LED</t>
  </si>
  <si>
    <t>GVL_Alarms.JacksLostPressure</t>
  </si>
  <si>
    <t>GVL_Alarms.CAS_3DSENSOR_OFFLINE</t>
  </si>
  <si>
    <t>Jacks Lost Pressure</t>
  </si>
  <si>
    <t>GVL_Alarms.ETHERNET_DICP_PLC_ERROR_DIFF</t>
  </si>
  <si>
    <t>GVL_Alarms.ETHERNET_CABIN_PLC_ERROR_DIFF</t>
  </si>
  <si>
    <t>GVL_Alarms.ETHERNET_CHASSIS_PLC_ERROR_DIFF</t>
  </si>
  <si>
    <t>GVL_Alarms.ETHERNET_DICP_PLC_ERROR_FROZEN</t>
  </si>
  <si>
    <t>GVL_Alarms.ETHERNET_CABIN_PLC_ERROR_FROZEN</t>
  </si>
  <si>
    <t>ETHERNET_CHASSIS_PLC_ERROR_FROZEN</t>
  </si>
  <si>
    <t>ETHERNET_CABIN_PLC_ERROR_FROZEN</t>
  </si>
  <si>
    <t>ETHERNET_DICP_PLC_ERROR_FROZEN</t>
  </si>
  <si>
    <t>ETHERNET_CHASSIS_PLC_ERROR_DIFF</t>
  </si>
  <si>
    <t>ETHERNET_CABIN_PLC_ERROR_DIFF</t>
  </si>
  <si>
    <t>ETHERNET_DICP_PLC_ERROR_DIFF</t>
  </si>
  <si>
    <t>ETHERNET_DICP_PLC_WARNING_DIFF</t>
  </si>
  <si>
    <t>ETHERNET_CABIN_PLC_WARNING_DIFF</t>
  </si>
  <si>
    <t>ETHERNET_CHASSIS_PLC_WARNING_DIFF</t>
  </si>
  <si>
    <t>ETHERNET_DICP_PLC_WARNING_FROZEN</t>
  </si>
  <si>
    <t>ETHERNET_CABIN_PLC_WARNING_FROZEN</t>
  </si>
  <si>
    <t>ETHERNET_CHASSIS_PLC_WARNING_FROZEN</t>
  </si>
  <si>
    <t>GVL_Alarms.ETHERNET_CHASSIS_PLC_ERROR_FROZEN</t>
  </si>
  <si>
    <t>GVL_Alarms.ETHERNET_DICP_PLC_WARNING_DIFF</t>
  </si>
  <si>
    <t>GVL_Alarms.ETHERNET_CABIN_PLC_WARNING_DIFF</t>
  </si>
  <si>
    <t>GVL_Alarms.ETHERNET_CHASSIS_PLC_WARNING_DIFF</t>
  </si>
  <si>
    <t>GVL_Alarms.ETHERNET_DICP_PLC_WARNING_FROZEN</t>
  </si>
  <si>
    <t>GVL_Alarms.ETHERNET_CABIN_PLC_WARNING_FROZEN</t>
  </si>
  <si>
    <t>GVL_Alarms.ETHERNET_CHASSIS_PLC_WARNING_FROZEN</t>
  </si>
  <si>
    <t>STL code to service the Alarm Bit Function Blocks</t>
  </si>
  <si>
    <t>Variable Declarations</t>
  </si>
  <si>
    <t>Source Bit</t>
  </si>
  <si>
    <t>Default Text</t>
  </si>
  <si>
    <t>Group</t>
  </si>
  <si>
    <t>Type</t>
  </si>
  <si>
    <t>FB Name</t>
  </si>
  <si>
    <t>Schematic_IO_Name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</si>
  <si>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</si>
  <si>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</si>
  <si>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</si>
  <si>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</si>
  <si>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</si>
  <si>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</si>
  <si>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</si>
  <si>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</si>
  <si>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</si>
  <si>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</si>
  <si>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</si>
  <si>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</si>
  <si>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</si>
  <si>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</si>
  <si>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</si>
  <si>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</si>
  <si>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</si>
  <si>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</si>
  <si>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</si>
  <si>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</si>
  <si>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</si>
  <si>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</si>
  <si>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</si>
  <si>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</si>
  <si>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</si>
  <si>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</si>
  <si>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</si>
  <si>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</si>
  <si>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</si>
  <si>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</si>
  <si>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</si>
  <si>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</si>
  <si>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</si>
  <si>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</si>
  <si>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</si>
  <si>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</si>
  <si>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</si>
  <si>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</si>
  <si>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</si>
  <si>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</si>
  <si>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</si>
  <si>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</si>
  <si>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</si>
  <si>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</si>
  <si>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</si>
  <si>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</si>
  <si>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</si>
  <si>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</si>
  <si>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</si>
  <si>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</si>
  <si>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</si>
  <si>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</si>
  <si>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</si>
  <si>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</si>
  <si>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</si>
  <si>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RADIOSIDECONVRAISEREQ</t>
  </si>
  <si>
    <t>RADIOSIDECONVLOWERREQ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</si>
  <si>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</si>
  <si>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</si>
  <si>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</si>
  <si>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</si>
  <si>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</si>
  <si>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</si>
  <si>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</si>
  <si>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</si>
  <si>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</si>
  <si>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</si>
  <si>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</si>
  <si>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</si>
  <si>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</si>
  <si>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</si>
  <si>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</si>
  <si>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</si>
  <si>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</si>
  <si>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</si>
  <si>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</si>
  <si>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</si>
  <si>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</si>
  <si>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</si>
  <si>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</si>
  <si>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</si>
  <si>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</si>
  <si>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</si>
  <si>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RIGHTTRACKDIVERT_OP</t>
  </si>
  <si>
    <t>DRUMONOFF_OP</t>
  </si>
  <si>
    <t>FEEDERONOFF_OP</t>
  </si>
  <si>
    <t>ECUENABLE</t>
  </si>
  <si>
    <t>CHASSIS.IN0100</t>
  </si>
  <si>
    <t>CHASSIS.IN0101</t>
  </si>
  <si>
    <t>CHASSIS.IN0102</t>
  </si>
  <si>
    <t>CHASSIS.IN0103</t>
  </si>
  <si>
    <t>CHASSIS.IN0200</t>
  </si>
  <si>
    <t>CHASSIS.IN0201</t>
  </si>
  <si>
    <t>CHASSIS.IN0202</t>
  </si>
  <si>
    <t>CHASSIS.IN0203</t>
  </si>
  <si>
    <t>CHASSIS.IN0600</t>
  </si>
  <si>
    <t>CHASSIS.IN0601</t>
  </si>
  <si>
    <t>CHASSIS.IN0602</t>
  </si>
  <si>
    <t>CHASSIS.IN0603</t>
  </si>
  <si>
    <t>CHASSIS.IN0700</t>
  </si>
  <si>
    <t>CHASSIS.IN0701</t>
  </si>
  <si>
    <t>CHASSIS.IN0702</t>
  </si>
  <si>
    <t>CHASSIS.IN0703</t>
  </si>
  <si>
    <t>CHASSIS.IN0000</t>
  </si>
  <si>
    <t>CHASSIS.IN0001</t>
  </si>
  <si>
    <t>CHASSIS.IN0002</t>
  </si>
  <si>
    <t>CHASSIS.IN0003</t>
  </si>
  <si>
    <t>CHASSIS.IN0500</t>
  </si>
  <si>
    <t>CHASSIS.IN0501</t>
  </si>
  <si>
    <t>CHASSIS.IN0502</t>
  </si>
  <si>
    <t>CHASSIS.IN0503</t>
  </si>
  <si>
    <t>CHASSIS.IN0400</t>
  </si>
  <si>
    <t>CHASSIS.IN0401</t>
  </si>
  <si>
    <t>CHASSIS.IN0900</t>
  </si>
  <si>
    <t>CHASSIS.IN0901</t>
  </si>
  <si>
    <t>CHASSIS.IN0300</t>
  </si>
  <si>
    <t>CHASSIS.IN0301</t>
  </si>
  <si>
    <t>CHASSIS.IN0800</t>
  </si>
  <si>
    <t>CHASSIS.IN0801</t>
  </si>
  <si>
    <t>CHASSIS.OUT0000</t>
  </si>
  <si>
    <t>CHASSIS.OUT0001</t>
  </si>
  <si>
    <t>CHASSIS.OUT0002</t>
  </si>
  <si>
    <t>CHASSIS.OUT0003</t>
  </si>
  <si>
    <t>CHASSIS.OUT0004</t>
  </si>
  <si>
    <t>CHASSIS.OUT0005</t>
  </si>
  <si>
    <t>CHASSIS.OUT0006</t>
  </si>
  <si>
    <t>CHASSIS.OUT0007</t>
  </si>
  <si>
    <t>CHASSIS.OUT0008</t>
  </si>
  <si>
    <t>CHASSIS.GROUP0</t>
  </si>
  <si>
    <t>CHASSIS.OUT0100</t>
  </si>
  <si>
    <t>CHASSIS.OUT0101</t>
  </si>
  <si>
    <t>CHASSIS.OUT0102</t>
  </si>
  <si>
    <t>CHASSIS.OUT0103</t>
  </si>
  <si>
    <t>CHASSIS.OUT0104</t>
  </si>
  <si>
    <t>CHASSIS.OUT0105</t>
  </si>
  <si>
    <t>CHASSIS.OUT0106</t>
  </si>
  <si>
    <t>CHASSIS.OUT0107</t>
  </si>
  <si>
    <t>CHASSIS.OUT0108</t>
  </si>
  <si>
    <t>CHASSIS.GROUP1</t>
  </si>
  <si>
    <t>CHASSIS.OUT0200</t>
  </si>
  <si>
    <t>CHASSIS.OUT0201</t>
  </si>
  <si>
    <t>CHASSIS.OUT0202</t>
  </si>
  <si>
    <t>CHASSIS.OUT0203</t>
  </si>
  <si>
    <t>CHASSIS.OUT0204</t>
  </si>
  <si>
    <t>CHASSIS.OUT0205</t>
  </si>
  <si>
    <t>CHASSIS.OUT0206</t>
  </si>
  <si>
    <t>CHASSIS.OUT0207</t>
  </si>
  <si>
    <t>CHASSIS.OUT0208</t>
  </si>
  <si>
    <t>CHASSIS.GROUP2</t>
  </si>
  <si>
    <t>CHASSIS.OUT3000</t>
  </si>
  <si>
    <t>CHASSIS.OUT3001</t>
  </si>
  <si>
    <t>SPARE_IN0102</t>
  </si>
  <si>
    <t>SPARE_IN0103</t>
  </si>
  <si>
    <t>SPARE_IN0200</t>
  </si>
  <si>
    <t>SPARE_IN0201</t>
  </si>
  <si>
    <t>SPARE_IN0202</t>
  </si>
  <si>
    <t>SPARE_IN0203</t>
  </si>
  <si>
    <t>SPARE_IN0600</t>
  </si>
  <si>
    <t>SPARE_IN0601</t>
  </si>
  <si>
    <t>SPARE_IN0602</t>
  </si>
  <si>
    <t>SPARE_IN0603</t>
  </si>
  <si>
    <t>SPARE_IN0700</t>
  </si>
  <si>
    <t>SPARE_IN0400</t>
  </si>
  <si>
    <t>SPARE_GROUP0</t>
  </si>
  <si>
    <t>SPARE_GROUP1</t>
  </si>
  <si>
    <t>SPARE_GROUP2</t>
  </si>
  <si>
    <t>SPARE_OUT3000</t>
  </si>
  <si>
    <t>SPARE_OUT3001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</si>
  <si>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</si>
  <si>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</si>
  <si>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</si>
  <si>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</si>
  <si>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</si>
  <si>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</si>
  <si>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</si>
  <si>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</si>
  <si>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</si>
  <si>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</si>
  <si>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</si>
  <si>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</si>
  <si>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</si>
  <si>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</si>
  <si>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</si>
  <si>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</si>
  <si>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</si>
  <si>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</si>
  <si>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</si>
  <si>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</si>
  <si>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</si>
  <si>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</si>
  <si>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</si>
  <si>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</si>
  <si>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</si>
  <si>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</si>
  <si>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</si>
  <si>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</si>
  <si>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</si>
  <si>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</si>
  <si>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</si>
  <si>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</si>
  <si>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</si>
  <si>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</si>
  <si>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</si>
  <si>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</si>
  <si>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</si>
  <si>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</si>
  <si>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</si>
  <si>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</si>
  <si>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</si>
  <si>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</si>
  <si>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</si>
  <si>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</si>
  <si>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</si>
  <si>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</si>
  <si>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</si>
  <si>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</si>
  <si>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</si>
  <si>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</si>
  <si>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</si>
  <si>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</si>
  <si>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</si>
  <si>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</si>
  <si>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</si>
  <si>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</si>
  <si>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</si>
  <si>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</si>
  <si>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</si>
  <si>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</si>
  <si>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</si>
  <si>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</si>
  <si>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</si>
  <si>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</si>
  <si>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</si>
  <si>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</si>
  <si>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</si>
  <si>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</si>
  <si>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</si>
  <si>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</si>
  <si>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</si>
  <si>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</si>
  <si>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</si>
  <si>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</si>
  <si>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</si>
  <si>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</si>
  <si>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</si>
  <si>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</si>
  <si>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</si>
  <si>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</si>
  <si>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</si>
  <si>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</si>
  <si>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</si>
  <si>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</si>
  <si>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</si>
  <si>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</si>
  <si>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</si>
  <si>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</si>
  <si>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</si>
  <si>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</si>
  <si>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</si>
  <si>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</si>
  <si>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</si>
  <si>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</si>
  <si>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</si>
  <si>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</si>
  <si>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</si>
  <si>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</si>
  <si>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</si>
  <si>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</si>
  <si>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</si>
  <si>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</si>
  <si>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</si>
  <si>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</si>
  <si>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</si>
  <si>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</si>
  <si>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</si>
  <si>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</si>
  <si>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</si>
  <si>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</si>
  <si>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</si>
  <si>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</si>
  <si>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</si>
  <si>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</si>
  <si>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</si>
  <si>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</si>
  <si>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</si>
  <si>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</si>
  <si>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</si>
  <si>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</si>
  <si>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</si>
  <si>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</si>
  <si>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</si>
  <si>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</si>
  <si>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</si>
  <si>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</si>
  <si>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</si>
  <si>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</si>
  <si>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</si>
  <si>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</si>
  <si>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</si>
  <si>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</si>
  <si>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</si>
  <si>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</si>
  <si>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</si>
  <si>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</si>
  <si>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</si>
  <si>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</si>
  <si>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</si>
  <si>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</si>
  <si>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</si>
  <si>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</si>
  <si>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</si>
  <si>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</si>
  <si>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</si>
  <si>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</si>
  <si>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</si>
  <si>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</si>
  <si>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</si>
  <si>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</si>
  <si>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</si>
  <si>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</si>
  <si>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</si>
  <si>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better lines! Show ecu symbol on the engine can link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</si>
  <si>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</si>
  <si>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</si>
  <si>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</si>
  <si>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</si>
  <si>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</si>
  <si>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</si>
  <si>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</si>
  <si>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</si>
  <si>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</si>
  <si>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</si>
  <si>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</si>
  <si>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</si>
  <si>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</si>
  <si>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</si>
  <si>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</si>
  <si>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</si>
  <si>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</si>
  <si>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</si>
  <si>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</si>
  <si>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</si>
  <si>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</si>
  <si>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</si>
  <si>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</si>
  <si>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</si>
  <si>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</si>
  <si>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</si>
  <si>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</si>
  <si>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</si>
  <si>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</si>
  <si>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</si>
  <si>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</si>
  <si>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</si>
  <si>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</si>
  <si>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</si>
  <si>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</si>
  <si>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</si>
  <si>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</si>
  <si>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</si>
  <si>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</si>
  <si>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</si>
  <si>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</si>
  <si>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</si>
  <si>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</si>
  <si>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</si>
  <si>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</si>
  <si>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</si>
  <si>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</si>
  <si>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</si>
  <si>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</si>
  <si>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</si>
  <si>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</si>
  <si>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</si>
  <si>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</si>
  <si>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</si>
  <si>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</si>
  <si>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</si>
  <si>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</si>
  <si>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</si>
  <si>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</si>
  <si>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</si>
  <si>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</si>
  <si>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</si>
  <si>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</si>
  <si>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</si>
  <si>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</si>
  <si>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</si>
  <si>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</si>
  <si>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</si>
  <si>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</si>
  <si>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</si>
  <si>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</si>
  <si>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</si>
  <si>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</si>
  <si>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</si>
  <si>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</si>
  <si>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</si>
  <si>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</si>
  <si>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</si>
  <si>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</si>
  <si>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</si>
  <si>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</si>
  <si>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</si>
  <si>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</si>
  <si>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</si>
  <si>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</si>
  <si>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</si>
  <si>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</si>
  <si>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</si>
  <si>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</si>
  <si>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</si>
  <si>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</si>
  <si>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</si>
  <si>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</si>
  <si>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</si>
  <si>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</si>
  <si>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</si>
  <si>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</si>
  <si>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</si>
  <si>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</si>
  <si>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</si>
  <si>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</si>
  <si>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</si>
  <si>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</si>
  <si>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</si>
  <si>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</si>
  <si>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</si>
  <si>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</si>
  <si>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</si>
  <si>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</si>
  <si>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</si>
  <si>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</si>
  <si>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</si>
  <si>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</si>
  <si>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</si>
  <si>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</si>
  <si>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</si>
  <si>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</si>
  <si>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</si>
  <si>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</si>
  <si>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</si>
  <si>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</si>
  <si>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</si>
  <si>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</si>
  <si>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</si>
  <si>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</si>
  <si>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</si>
  <si>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</si>
  <si>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</si>
  <si>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</si>
  <si>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</si>
  <si>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</si>
  <si>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</si>
  <si>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</si>
  <si>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</si>
  <si>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</si>
  <si>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</si>
  <si>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</si>
  <si>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</si>
  <si>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</si>
  <si>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</si>
  <si>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</si>
  <si>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</si>
  <si>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</si>
  <si>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</si>
  <si>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</si>
  <si>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</si>
  <si>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</si>
  <si>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</si>
  <si>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</si>
  <si>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</si>
  <si>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</si>
  <si>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</si>
  <si>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</si>
  <si>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</si>
  <si>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</si>
  <si>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</si>
  <si>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</si>
  <si>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</si>
  <si>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</si>
  <si>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</si>
  <si>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</si>
  <si>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</si>
  <si>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</si>
  <si>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</si>
  <si>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</si>
  <si>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</si>
  <si>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</si>
  <si>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</si>
  <si>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</si>
  <si>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</si>
  <si>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</si>
  <si>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</si>
  <si>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</si>
  <si>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</si>
  <si>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</si>
  <si>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</si>
  <si>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</si>
  <si>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</si>
  <si>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</si>
  <si>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</si>
  <si>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</si>
  <si>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collection has to be started first?</t>
  </si>
  <si>
    <t>fix up the naming on the milla amp settings on the radial</t>
  </si>
  <si>
    <t>Alarms Page to cover all the shutdowns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</si>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</sst>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3</xdr:col>
      <xdr:colOff>9611</xdr:colOff>
      <xdr:row>6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600159</xdr:colOff>
      <xdr:row>11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3</xdr:col>
      <xdr:colOff>9611</xdr:colOff>
      <xdr:row>16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3</xdr:col>
      <xdr:colOff>28664</xdr:colOff>
      <xdr:row>21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4</xdr:row>
      <xdr:rowOff>114300</xdr:rowOff>
    </xdr:from>
    <xdr:to>
      <xdr:col>8</xdr:col>
      <xdr:colOff>420282</xdr:colOff>
      <xdr:row>7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7</xdr:row>
      <xdr:rowOff>2724150</xdr:rowOff>
    </xdr:from>
    <xdr:to>
      <xdr:col>4</xdr:col>
      <xdr:colOff>2429186</xdr:colOff>
      <xdr:row>7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5</xdr:row>
      <xdr:rowOff>0</xdr:rowOff>
    </xdr:from>
    <xdr:to>
      <xdr:col>15</xdr:col>
      <xdr:colOff>38592</xdr:colOff>
      <xdr:row>7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9</xdr:row>
      <xdr:rowOff>133350</xdr:rowOff>
    </xdr:from>
    <xdr:to>
      <xdr:col>8</xdr:col>
      <xdr:colOff>438811</xdr:colOff>
      <xdr:row>11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9</xdr:row>
      <xdr:rowOff>133351</xdr:rowOff>
    </xdr:from>
    <xdr:to>
      <xdr:col>17</xdr:col>
      <xdr:colOff>207243</xdr:colOff>
      <xdr:row>11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591247</xdr:colOff>
      <xdr:row>16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14</xdr:row>
      <xdr:rowOff>114300</xdr:rowOff>
    </xdr:from>
    <xdr:to>
      <xdr:col>18</xdr:col>
      <xdr:colOff>723</xdr:colOff>
      <xdr:row>16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14</xdr:row>
      <xdr:rowOff>95250</xdr:rowOff>
    </xdr:from>
    <xdr:to>
      <xdr:col>26</xdr:col>
      <xdr:colOff>172128</xdr:colOff>
      <xdr:row>16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9</xdr:row>
      <xdr:rowOff>171450</xdr:rowOff>
    </xdr:from>
    <xdr:to>
      <xdr:col>25</xdr:col>
      <xdr:colOff>58002</xdr:colOff>
      <xdr:row>11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20</xdr:row>
      <xdr:rowOff>0</xdr:rowOff>
    </xdr:from>
    <xdr:to>
      <xdr:col>9</xdr:col>
      <xdr:colOff>238125</xdr:colOff>
      <xdr:row>30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obus.net/isobus/pGNAndSPN/index?PGNAndSPN_page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93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356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93</v>
      </c>
      <c r="B3" s="17" t="s">
        <v>19</v>
      </c>
      <c r="C3" s="19">
        <v>2</v>
      </c>
      <c r="D3" s="17" t="s">
        <v>24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358</v>
      </c>
      <c r="J3" s="21" t="str">
        <f t="shared" si="1"/>
        <v>CHASSIS.IN0101</v>
      </c>
      <c r="K3" s="19" t="s">
        <v>357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93</v>
      </c>
      <c r="B4" s="17" t="s">
        <v>19</v>
      </c>
      <c r="C4" s="19">
        <v>3</v>
      </c>
      <c r="D4" s="17" t="s">
        <v>25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822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93</v>
      </c>
      <c r="B5" s="17" t="s">
        <v>19</v>
      </c>
      <c r="C5" s="19">
        <v>4</v>
      </c>
      <c r="D5" s="17" t="s">
        <v>26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823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93</v>
      </c>
      <c r="B6" s="17" t="s">
        <v>19</v>
      </c>
      <c r="C6" s="19">
        <v>5</v>
      </c>
      <c r="D6" s="17" t="s">
        <v>27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824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93</v>
      </c>
      <c r="B7" s="17" t="s">
        <v>19</v>
      </c>
      <c r="C7" s="19">
        <v>6</v>
      </c>
      <c r="D7" s="17" t="s">
        <v>28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598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93</v>
      </c>
      <c r="B8" s="17" t="s">
        <v>19</v>
      </c>
      <c r="C8" s="19">
        <v>7</v>
      </c>
      <c r="D8" s="17" t="s">
        <v>29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93</v>
      </c>
      <c r="B9" s="17" t="s">
        <v>19</v>
      </c>
      <c r="C9" s="19">
        <v>8</v>
      </c>
      <c r="D9" s="17" t="s">
        <v>30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93</v>
      </c>
      <c r="B10" s="17" t="s">
        <v>19</v>
      </c>
      <c r="C10" s="19">
        <v>9</v>
      </c>
      <c r="D10" s="17" t="s">
        <v>32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93</v>
      </c>
      <c r="B11" s="17" t="s">
        <v>19</v>
      </c>
      <c r="C11" s="19">
        <v>10</v>
      </c>
      <c r="D11" s="17" t="s">
        <v>33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93</v>
      </c>
      <c r="B12" s="17" t="s">
        <v>19</v>
      </c>
      <c r="C12" s="19">
        <v>11</v>
      </c>
      <c r="D12" s="17" t="s">
        <v>34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93</v>
      </c>
      <c r="B13" s="17" t="s">
        <v>19</v>
      </c>
      <c r="C13" s="19">
        <v>12</v>
      </c>
      <c r="D13" s="17" t="s">
        <v>35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93</v>
      </c>
      <c r="B14" s="17" t="s">
        <v>19</v>
      </c>
      <c r="C14" s="19">
        <v>13</v>
      </c>
      <c r="D14" s="17" t="s">
        <v>36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93</v>
      </c>
      <c r="B15" s="17" t="s">
        <v>19</v>
      </c>
      <c r="C15" s="19">
        <v>14</v>
      </c>
      <c r="D15" s="17" t="s">
        <v>37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359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93</v>
      </c>
      <c r="B16" s="17" t="s">
        <v>19</v>
      </c>
      <c r="C16" s="19">
        <v>15</v>
      </c>
      <c r="D16" s="17" t="s">
        <v>38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360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93</v>
      </c>
      <c r="B17" s="17" t="s">
        <v>19</v>
      </c>
      <c r="C17" s="19">
        <v>16</v>
      </c>
      <c r="D17" s="17" t="s">
        <v>39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361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93</v>
      </c>
      <c r="B18" s="17" t="s">
        <v>19</v>
      </c>
      <c r="C18" s="19">
        <v>17</v>
      </c>
      <c r="D18" s="17" t="s">
        <v>40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362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93</v>
      </c>
      <c r="B19" s="17" t="s">
        <v>19</v>
      </c>
      <c r="C19" s="19">
        <v>18</v>
      </c>
      <c r="D19" s="17" t="s">
        <v>42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363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93</v>
      </c>
      <c r="B20" s="17" t="s">
        <v>19</v>
      </c>
      <c r="C20" s="19">
        <v>19</v>
      </c>
      <c r="D20" s="17" t="s">
        <v>43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364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93</v>
      </c>
      <c r="B21" s="17" t="s">
        <v>19</v>
      </c>
      <c r="C21" s="19">
        <v>20</v>
      </c>
      <c r="D21" s="17" t="s">
        <v>44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365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93</v>
      </c>
      <c r="B22" s="17" t="s">
        <v>19</v>
      </c>
      <c r="C22" s="19">
        <v>21</v>
      </c>
      <c r="D22" s="17" t="s">
        <v>45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366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93</v>
      </c>
      <c r="B23" s="17" t="s">
        <v>19</v>
      </c>
      <c r="C23" s="19">
        <v>22</v>
      </c>
      <c r="D23" s="17" t="s">
        <v>46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367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93</v>
      </c>
      <c r="B24" s="17" t="s">
        <v>19</v>
      </c>
      <c r="C24" s="19">
        <v>23</v>
      </c>
      <c r="D24" s="17" t="s">
        <v>47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825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93</v>
      </c>
      <c r="B25" s="17" t="s">
        <v>19</v>
      </c>
      <c r="C25" s="19">
        <v>24</v>
      </c>
      <c r="D25" s="17" t="s">
        <v>48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826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93</v>
      </c>
      <c r="B26" s="17" t="s">
        <v>19</v>
      </c>
      <c r="C26" s="19">
        <v>25</v>
      </c>
      <c r="D26" s="17" t="s">
        <v>49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93</v>
      </c>
      <c r="B27" s="17" t="s">
        <v>19</v>
      </c>
      <c r="C27" s="19">
        <v>26</v>
      </c>
      <c r="D27" s="17" t="s">
        <v>50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368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93</v>
      </c>
      <c r="B28" s="17" t="s">
        <v>19</v>
      </c>
      <c r="C28" s="19">
        <v>27</v>
      </c>
      <c r="D28" s="17" t="s">
        <v>51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369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93</v>
      </c>
      <c r="B29" s="17" t="s">
        <v>19</v>
      </c>
      <c r="C29" s="19">
        <v>28</v>
      </c>
      <c r="D29" s="17" t="s">
        <v>52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370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93</v>
      </c>
      <c r="B30" s="17" t="s">
        <v>19</v>
      </c>
      <c r="C30" s="19">
        <v>29</v>
      </c>
      <c r="D30" s="17" t="s">
        <v>53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371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93</v>
      </c>
      <c r="B31" s="17" t="s">
        <v>19</v>
      </c>
      <c r="C31" s="19">
        <v>30</v>
      </c>
      <c r="D31" s="17" t="s">
        <v>54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372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93</v>
      </c>
      <c r="B32" s="17" t="s">
        <v>19</v>
      </c>
      <c r="C32" s="19">
        <v>31</v>
      </c>
      <c r="D32" s="17" t="s">
        <v>55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373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93</v>
      </c>
      <c r="B33" s="17" t="s">
        <v>19</v>
      </c>
      <c r="C33" s="19">
        <v>32</v>
      </c>
      <c r="D33" s="17" t="s">
        <v>56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374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93</v>
      </c>
      <c r="B34" s="17" t="s">
        <v>19</v>
      </c>
      <c r="C34" s="19">
        <v>33</v>
      </c>
      <c r="D34" s="17" t="s">
        <v>57</v>
      </c>
      <c r="E34" s="17" t="str">
        <f t="shared" si="6"/>
        <v>CR0709.OUT0000</v>
      </c>
      <c r="F34" s="17" t="s">
        <v>58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524</v>
      </c>
      <c r="J34" s="21" t="str">
        <f t="shared" si="1"/>
        <v>CHASSIS.OUT0000</v>
      </c>
      <c r="K34" s="19" t="s">
        <v>375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682</v>
      </c>
    </row>
    <row r="35" spans="1:22" s="2" customFormat="1" x14ac:dyDescent="0.2">
      <c r="A35" s="17" t="s">
        <v>93</v>
      </c>
      <c r="B35" s="17" t="s">
        <v>19</v>
      </c>
      <c r="C35" s="19">
        <v>34</v>
      </c>
      <c r="D35" s="17" t="s">
        <v>59</v>
      </c>
      <c r="E35" s="17" t="str">
        <f t="shared" si="6"/>
        <v>CR0709.OUT0001</v>
      </c>
      <c r="F35" s="17" t="s">
        <v>58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41</v>
      </c>
      <c r="J35" s="21" t="str">
        <f t="shared" si="1"/>
        <v>CHASSIS.OUT0001</v>
      </c>
      <c r="K35" s="19" t="s">
        <v>376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93</v>
      </c>
      <c r="B36" s="17" t="s">
        <v>19</v>
      </c>
      <c r="C36" s="19">
        <v>35</v>
      </c>
      <c r="D36" s="17" t="s">
        <v>60</v>
      </c>
      <c r="E36" s="17" t="str">
        <f t="shared" si="6"/>
        <v>CR0709.OUT0002</v>
      </c>
      <c r="F36" s="17" t="s">
        <v>58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524</v>
      </c>
      <c r="J36" s="21" t="str">
        <f t="shared" si="1"/>
        <v>CHASSIS.OUT0002</v>
      </c>
      <c r="K36" s="19" t="s">
        <v>377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682</v>
      </c>
    </row>
    <row r="37" spans="1:22" s="2" customFormat="1" x14ac:dyDescent="0.2">
      <c r="A37" s="17" t="s">
        <v>93</v>
      </c>
      <c r="B37" s="17" t="s">
        <v>19</v>
      </c>
      <c r="C37" s="19">
        <v>36</v>
      </c>
      <c r="D37" s="17" t="s">
        <v>61</v>
      </c>
      <c r="E37" s="17" t="str">
        <f t="shared" si="6"/>
        <v>CR0709.OUT0003</v>
      </c>
      <c r="F37" s="17" t="s">
        <v>58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41</v>
      </c>
      <c r="J37" s="21" t="str">
        <f t="shared" si="1"/>
        <v>CHASSIS.OUT0003</v>
      </c>
      <c r="K37" s="19" t="s">
        <v>378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93</v>
      </c>
      <c r="B38" s="17" t="s">
        <v>19</v>
      </c>
      <c r="C38" s="19">
        <v>37</v>
      </c>
      <c r="D38" s="17" t="s">
        <v>62</v>
      </c>
      <c r="E38" s="17" t="str">
        <f t="shared" si="6"/>
        <v>CR0709.OUT0004</v>
      </c>
      <c r="F38" s="17" t="s">
        <v>58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524</v>
      </c>
      <c r="J38" s="21" t="str">
        <f t="shared" si="1"/>
        <v>CHASSIS.OUT0004</v>
      </c>
      <c r="K38" s="19" t="s">
        <v>379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682</v>
      </c>
    </row>
    <row r="39" spans="1:22" s="2" customFormat="1" x14ac:dyDescent="0.2">
      <c r="A39" s="17" t="s">
        <v>93</v>
      </c>
      <c r="B39" s="17" t="s">
        <v>19</v>
      </c>
      <c r="C39" s="19">
        <v>38</v>
      </c>
      <c r="D39" s="17" t="s">
        <v>63</v>
      </c>
      <c r="E39" s="17" t="str">
        <f t="shared" si="6"/>
        <v>CR0709.OUT0005</v>
      </c>
      <c r="F39" s="17" t="s">
        <v>58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41</v>
      </c>
      <c r="J39" s="21" t="str">
        <f t="shared" si="1"/>
        <v>CHASSIS.OUT0005</v>
      </c>
      <c r="K39" s="19" t="s">
        <v>380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93</v>
      </c>
      <c r="B40" s="17" t="s">
        <v>19</v>
      </c>
      <c r="C40" s="19">
        <v>39</v>
      </c>
      <c r="D40" s="17" t="s">
        <v>64</v>
      </c>
      <c r="E40" s="17" t="str">
        <f t="shared" si="6"/>
        <v>CR0709.OUT0006</v>
      </c>
      <c r="F40" s="17" t="s">
        <v>58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41</v>
      </c>
      <c r="J40" s="21" t="str">
        <f t="shared" si="1"/>
        <v>CHASSIS.OUT0006</v>
      </c>
      <c r="K40" s="19" t="s">
        <v>381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93</v>
      </c>
      <c r="B41" s="17" t="s">
        <v>19</v>
      </c>
      <c r="C41" s="19">
        <v>40</v>
      </c>
      <c r="D41" s="17" t="s">
        <v>65</v>
      </c>
      <c r="E41" s="17" t="str">
        <f t="shared" si="6"/>
        <v>CR0709.OUT0007</v>
      </c>
      <c r="F41" s="17" t="s">
        <v>58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524</v>
      </c>
      <c r="J41" s="21" t="str">
        <f t="shared" si="1"/>
        <v>CHASSIS.OUT0007</v>
      </c>
      <c r="K41" s="19" t="s">
        <v>382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682</v>
      </c>
    </row>
    <row r="42" spans="1:22" s="2" customFormat="1" x14ac:dyDescent="0.2">
      <c r="A42" s="17" t="s">
        <v>93</v>
      </c>
      <c r="B42" s="17" t="s">
        <v>19</v>
      </c>
      <c r="C42" s="19">
        <v>41</v>
      </c>
      <c r="D42" s="17" t="s">
        <v>66</v>
      </c>
      <c r="E42" s="17" t="str">
        <f t="shared" si="6"/>
        <v>CR0709.OUT0008</v>
      </c>
      <c r="F42" s="17" t="s">
        <v>58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41</v>
      </c>
      <c r="J42" s="21" t="str">
        <f t="shared" si="1"/>
        <v>CHASSIS.OUT0008</v>
      </c>
      <c r="K42" s="19" t="s">
        <v>383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682</v>
      </c>
    </row>
    <row r="43" spans="1:22" s="2" customFormat="1" x14ac:dyDescent="0.2">
      <c r="A43" s="17" t="s">
        <v>93</v>
      </c>
      <c r="B43" s="17" t="s">
        <v>19</v>
      </c>
      <c r="C43" s="19">
        <v>62</v>
      </c>
      <c r="D43" s="17" t="s">
        <v>67</v>
      </c>
      <c r="E43" s="17" t="str">
        <f>_xlfn.CONCAT(B43,".",D43)</f>
        <v>CR0709.GROUP0</v>
      </c>
      <c r="F43" s="17" t="s">
        <v>68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69</v>
      </c>
      <c r="J43" s="21" t="str">
        <f t="shared" si="1"/>
        <v>CHASSIS.GROUP0</v>
      </c>
      <c r="K43" s="19" t="s">
        <v>525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93</v>
      </c>
      <c r="B44" s="17" t="s">
        <v>19</v>
      </c>
      <c r="C44" s="19">
        <v>42</v>
      </c>
      <c r="D44" s="17" t="s">
        <v>70</v>
      </c>
      <c r="E44" s="17" t="str">
        <f t="shared" si="6"/>
        <v>CR0709.OUT0100</v>
      </c>
      <c r="F44" s="17" t="s">
        <v>58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524</v>
      </c>
      <c r="J44" s="21" t="str">
        <f t="shared" si="1"/>
        <v>CHASSIS.OUT0100</v>
      </c>
      <c r="K44" s="19" t="s">
        <v>384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682</v>
      </c>
    </row>
    <row r="45" spans="1:22" s="2" customFormat="1" x14ac:dyDescent="0.2">
      <c r="A45" s="17" t="s">
        <v>93</v>
      </c>
      <c r="B45" s="17" t="s">
        <v>19</v>
      </c>
      <c r="C45" s="19">
        <v>43</v>
      </c>
      <c r="D45" s="17" t="s">
        <v>71</v>
      </c>
      <c r="E45" s="17" t="str">
        <f t="shared" si="6"/>
        <v>CR0709.OUT0101</v>
      </c>
      <c r="F45" s="17" t="s">
        <v>58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41</v>
      </c>
      <c r="J45" s="21" t="str">
        <f t="shared" si="1"/>
        <v>CHASSIS.OUT0101</v>
      </c>
      <c r="K45" s="31" t="s">
        <v>385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93</v>
      </c>
      <c r="B46" s="17" t="s">
        <v>19</v>
      </c>
      <c r="C46" s="19">
        <v>44</v>
      </c>
      <c r="D46" s="17" t="s">
        <v>72</v>
      </c>
      <c r="E46" s="17" t="str">
        <f t="shared" si="6"/>
        <v>CR0709.OUT0102</v>
      </c>
      <c r="F46" s="17" t="s">
        <v>58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524</v>
      </c>
      <c r="J46" s="21" t="str">
        <f t="shared" si="1"/>
        <v>CHASSIS.OUT0102</v>
      </c>
      <c r="K46" s="19" t="s">
        <v>386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682</v>
      </c>
    </row>
    <row r="47" spans="1:22" s="2" customFormat="1" x14ac:dyDescent="0.2">
      <c r="A47" s="17" t="s">
        <v>93</v>
      </c>
      <c r="B47" s="17" t="s">
        <v>19</v>
      </c>
      <c r="C47" s="19">
        <v>45</v>
      </c>
      <c r="D47" s="17" t="s">
        <v>73</v>
      </c>
      <c r="E47" s="17" t="str">
        <f t="shared" si="6"/>
        <v>CR0709.OUT0103</v>
      </c>
      <c r="F47" s="17" t="s">
        <v>58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41</v>
      </c>
      <c r="J47" s="21" t="str">
        <f t="shared" si="1"/>
        <v>CHASSIS.OUT0103</v>
      </c>
      <c r="K47" s="31" t="s">
        <v>387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93</v>
      </c>
      <c r="B48" s="17" t="s">
        <v>19</v>
      </c>
      <c r="C48" s="19">
        <v>46</v>
      </c>
      <c r="D48" s="17" t="s">
        <v>74</v>
      </c>
      <c r="E48" s="17" t="str">
        <f t="shared" si="6"/>
        <v>CR0709.OUT0104</v>
      </c>
      <c r="F48" s="17" t="s">
        <v>58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41</v>
      </c>
      <c r="J48" s="21" t="str">
        <f t="shared" si="1"/>
        <v>CHASSIS.OUT0104</v>
      </c>
      <c r="K48" s="19" t="s">
        <v>388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93</v>
      </c>
      <c r="B49" s="17" t="s">
        <v>19</v>
      </c>
      <c r="C49" s="19">
        <v>47</v>
      </c>
      <c r="D49" s="17" t="s">
        <v>75</v>
      </c>
      <c r="E49" s="17" t="str">
        <f t="shared" si="6"/>
        <v>CR0709.OUT0105</v>
      </c>
      <c r="F49" s="17" t="s">
        <v>58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41</v>
      </c>
      <c r="J49" s="21" t="str">
        <f t="shared" si="1"/>
        <v>CHASSIS.OUT0105</v>
      </c>
      <c r="K49" s="19" t="s">
        <v>389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93</v>
      </c>
      <c r="B50" s="17" t="s">
        <v>19</v>
      </c>
      <c r="C50" s="19">
        <v>48</v>
      </c>
      <c r="D50" s="17" t="s">
        <v>76</v>
      </c>
      <c r="E50" s="17" t="str">
        <f t="shared" si="6"/>
        <v>CR0709.OUT0106</v>
      </c>
      <c r="F50" s="17" t="s">
        <v>58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41</v>
      </c>
      <c r="J50" s="21" t="str">
        <f t="shared" si="1"/>
        <v>CHASSIS.OUT0106</v>
      </c>
      <c r="K50" s="19" t="s">
        <v>390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93</v>
      </c>
      <c r="B51" s="17" t="s">
        <v>19</v>
      </c>
      <c r="C51" s="19">
        <v>49</v>
      </c>
      <c r="D51" s="17" t="s">
        <v>77</v>
      </c>
      <c r="E51" s="17" t="str">
        <f t="shared" si="6"/>
        <v>CR0709.OUT0107</v>
      </c>
      <c r="F51" s="17" t="s">
        <v>58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41</v>
      </c>
      <c r="J51" s="21" t="str">
        <f t="shared" si="1"/>
        <v>CHASSIS.OUT0107</v>
      </c>
      <c r="K51" s="19" t="s">
        <v>391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682</v>
      </c>
    </row>
    <row r="52" spans="1:22" x14ac:dyDescent="0.2">
      <c r="A52" s="17" t="s">
        <v>93</v>
      </c>
      <c r="B52" s="17" t="s">
        <v>19</v>
      </c>
      <c r="C52" s="19">
        <v>50</v>
      </c>
      <c r="D52" s="17" t="s">
        <v>78</v>
      </c>
      <c r="E52" s="17" t="str">
        <f t="shared" si="6"/>
        <v>CR0709.OUT0108</v>
      </c>
      <c r="F52" s="17" t="s">
        <v>58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41</v>
      </c>
      <c r="J52" s="21" t="str">
        <f t="shared" si="1"/>
        <v>CHASSIS.OUT0108</v>
      </c>
      <c r="K52" s="19" t="s">
        <v>392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93</v>
      </c>
      <c r="B53" s="17" t="s">
        <v>19</v>
      </c>
      <c r="C53" s="19">
        <v>63</v>
      </c>
      <c r="D53" s="17" t="s">
        <v>79</v>
      </c>
      <c r="E53" s="17" t="str">
        <f>_xlfn.CONCAT(B53,".",D53)</f>
        <v>CR0709.GROUP1</v>
      </c>
      <c r="F53" s="17" t="s">
        <v>68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69</v>
      </c>
      <c r="J53" s="21" t="str">
        <f t="shared" si="1"/>
        <v>CHASSIS.GROUP1</v>
      </c>
      <c r="K53" s="19" t="s">
        <v>526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93</v>
      </c>
      <c r="B54" s="17" t="s">
        <v>19</v>
      </c>
      <c r="C54" s="19">
        <v>51</v>
      </c>
      <c r="D54" s="17" t="s">
        <v>80</v>
      </c>
      <c r="E54" s="17" t="str">
        <f t="shared" si="6"/>
        <v>CR0709.OUT0200</v>
      </c>
      <c r="F54" s="17" t="s">
        <v>58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41</v>
      </c>
      <c r="J54" s="21" t="str">
        <f t="shared" si="1"/>
        <v>CHASSIS.OUT0200</v>
      </c>
      <c r="K54" s="31" t="s">
        <v>393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93</v>
      </c>
      <c r="B55" s="17" t="s">
        <v>19</v>
      </c>
      <c r="C55" s="19">
        <v>52</v>
      </c>
      <c r="D55" s="17" t="s">
        <v>81</v>
      </c>
      <c r="E55" s="17" t="str">
        <f t="shared" si="6"/>
        <v>CR0709.OUT0201</v>
      </c>
      <c r="F55" s="17" t="s">
        <v>58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41</v>
      </c>
      <c r="J55" s="21" t="str">
        <f t="shared" si="1"/>
        <v>CHASSIS.OUT0201</v>
      </c>
      <c r="K55" s="31" t="s">
        <v>394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93</v>
      </c>
      <c r="B56" s="17" t="s">
        <v>19</v>
      </c>
      <c r="C56" s="19">
        <v>53</v>
      </c>
      <c r="D56" s="17" t="s">
        <v>82</v>
      </c>
      <c r="E56" s="17" t="str">
        <f t="shared" si="6"/>
        <v>CR0709.OUT0202</v>
      </c>
      <c r="F56" s="17" t="s">
        <v>58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41</v>
      </c>
      <c r="J56" s="21" t="str">
        <f t="shared" si="1"/>
        <v>CHASSIS.OUT0202</v>
      </c>
      <c r="K56" s="31" t="s">
        <v>395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93</v>
      </c>
      <c r="B57" s="17" t="s">
        <v>19</v>
      </c>
      <c r="C57" s="19">
        <v>54</v>
      </c>
      <c r="D57" s="17" t="s">
        <v>83</v>
      </c>
      <c r="E57" s="17" t="str">
        <f t="shared" si="6"/>
        <v>CR0709.OUT0203</v>
      </c>
      <c r="F57" s="17" t="s">
        <v>58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41</v>
      </c>
      <c r="J57" s="21" t="str">
        <f t="shared" si="1"/>
        <v>CHASSIS.OUT0203</v>
      </c>
      <c r="K57" s="31" t="s">
        <v>396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93</v>
      </c>
      <c r="B58" s="17" t="s">
        <v>19</v>
      </c>
      <c r="C58" s="19">
        <v>55</v>
      </c>
      <c r="D58" s="17" t="s">
        <v>84</v>
      </c>
      <c r="E58" s="17" t="str">
        <f t="shared" si="6"/>
        <v>CR0709.OUT0204</v>
      </c>
      <c r="F58" s="17" t="s">
        <v>58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41</v>
      </c>
      <c r="J58" s="21" t="str">
        <f t="shared" si="1"/>
        <v>CHASSIS.OUT0204</v>
      </c>
      <c r="K58" s="31" t="s">
        <v>397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93</v>
      </c>
      <c r="B59" s="17" t="s">
        <v>19</v>
      </c>
      <c r="C59" s="19">
        <v>56</v>
      </c>
      <c r="D59" s="17" t="s">
        <v>85</v>
      </c>
      <c r="E59" s="17" t="str">
        <f t="shared" si="6"/>
        <v>CR0709.OUT0205</v>
      </c>
      <c r="F59" s="17" t="s">
        <v>58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41</v>
      </c>
      <c r="J59" s="21" t="str">
        <f t="shared" si="1"/>
        <v>CHASSIS.OUT0205</v>
      </c>
      <c r="K59" s="31" t="s">
        <v>398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93</v>
      </c>
      <c r="B60" s="17" t="s">
        <v>19</v>
      </c>
      <c r="C60" s="19">
        <v>57</v>
      </c>
      <c r="D60" s="17" t="s">
        <v>86</v>
      </c>
      <c r="E60" s="17" t="str">
        <f t="shared" si="6"/>
        <v>CR0709.OUT0206</v>
      </c>
      <c r="F60" s="17" t="s">
        <v>58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41</v>
      </c>
      <c r="J60" s="21" t="str">
        <f t="shared" si="1"/>
        <v>CHASSIS.OUT0206</v>
      </c>
      <c r="K60" s="19" t="s">
        <v>399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93</v>
      </c>
      <c r="B61" s="17" t="s">
        <v>19</v>
      </c>
      <c r="C61" s="19">
        <v>58</v>
      </c>
      <c r="D61" s="17" t="s">
        <v>87</v>
      </c>
      <c r="E61" s="17" t="str">
        <f t="shared" si="6"/>
        <v>CR0709.OUT0207</v>
      </c>
      <c r="F61" s="17" t="s">
        <v>58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41</v>
      </c>
      <c r="J61" s="21" t="str">
        <f t="shared" si="1"/>
        <v>CHASSIS.OUT0207</v>
      </c>
      <c r="K61" s="19" t="s">
        <v>400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93</v>
      </c>
      <c r="B62" s="17" t="s">
        <v>19</v>
      </c>
      <c r="C62" s="19">
        <v>59</v>
      </c>
      <c r="D62" s="17" t="s">
        <v>88</v>
      </c>
      <c r="E62" s="17" t="str">
        <f t="shared" si="6"/>
        <v>CR0709.OUT0208</v>
      </c>
      <c r="F62" s="17" t="s">
        <v>58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41</v>
      </c>
      <c r="J62" s="21" t="str">
        <f t="shared" si="1"/>
        <v>CHASSIS.OUT0208</v>
      </c>
      <c r="K62" s="31" t="s">
        <v>401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93</v>
      </c>
      <c r="B63" s="17" t="s">
        <v>19</v>
      </c>
      <c r="C63" s="19">
        <v>64</v>
      </c>
      <c r="D63" s="17" t="s">
        <v>89</v>
      </c>
      <c r="E63" s="17" t="str">
        <f>_xlfn.CONCAT(B63,".",D63)</f>
        <v>CR0709.GROUP2</v>
      </c>
      <c r="F63" s="17" t="s">
        <v>68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69</v>
      </c>
      <c r="J63" s="21" t="str">
        <f t="shared" si="1"/>
        <v>CHASSIS.GROUP2</v>
      </c>
      <c r="K63" s="19" t="s">
        <v>527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93</v>
      </c>
      <c r="B64" s="17" t="s">
        <v>19</v>
      </c>
      <c r="C64" s="19">
        <v>60</v>
      </c>
      <c r="D64" s="17" t="s">
        <v>90</v>
      </c>
      <c r="E64" s="17" t="str">
        <f t="shared" si="6"/>
        <v>CR0709.OUT3000</v>
      </c>
      <c r="F64" s="17" t="s">
        <v>91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93</v>
      </c>
      <c r="B65" s="17" t="s">
        <v>19</v>
      </c>
      <c r="C65" s="19">
        <v>61</v>
      </c>
      <c r="D65" s="17" t="s">
        <v>92</v>
      </c>
      <c r="E65" s="17" t="str">
        <f t="shared" si="6"/>
        <v>CR0709.OUT3001</v>
      </c>
      <c r="F65" s="17" t="s">
        <v>91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602</v>
      </c>
      <c r="B67" s="17" t="s">
        <v>603</v>
      </c>
      <c r="C67" s="19"/>
      <c r="D67" s="17" t="s">
        <v>604</v>
      </c>
      <c r="E67" s="17" t="str">
        <f t="shared" ref="E67:E74" si="20">_xlfn.CONCAT(B67,".",D67)</f>
        <v>CR0403.OP0</v>
      </c>
      <c r="F67" s="17" t="s">
        <v>58</v>
      </c>
      <c r="G67" s="21"/>
      <c r="H67" s="21"/>
      <c r="I67" s="21"/>
      <c r="J67" s="21" t="str">
        <f t="shared" ref="J67" si="21">_xlfn.CONCAT(A67,".",D67)</f>
        <v>AUX.OP0</v>
      </c>
      <c r="K67" s="19" t="s">
        <v>605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602</v>
      </c>
      <c r="B68" s="17" t="s">
        <v>603</v>
      </c>
      <c r="C68" s="19"/>
      <c r="D68" s="17" t="s">
        <v>606</v>
      </c>
      <c r="E68" s="17" t="str">
        <f t="shared" si="20"/>
        <v>CR0403.OP1</v>
      </c>
      <c r="F68" s="17" t="s">
        <v>58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602</v>
      </c>
      <c r="B69" s="17" t="s">
        <v>603</v>
      </c>
      <c r="C69" s="19"/>
      <c r="D69" s="17" t="s">
        <v>607</v>
      </c>
      <c r="E69" s="17" t="str">
        <f t="shared" si="20"/>
        <v>CR0403.OP2</v>
      </c>
      <c r="F69" s="17" t="s">
        <v>58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602</v>
      </c>
      <c r="B70" s="17" t="s">
        <v>603</v>
      </c>
      <c r="C70" s="19"/>
      <c r="D70" s="17" t="s">
        <v>608</v>
      </c>
      <c r="E70" s="17" t="str">
        <f t="shared" si="20"/>
        <v>CR0403.OP3</v>
      </c>
      <c r="F70" s="17" t="s">
        <v>58</v>
      </c>
      <c r="G70" s="21"/>
      <c r="H70" s="21"/>
      <c r="I70" s="21"/>
      <c r="J70" s="21" t="str">
        <f t="shared" si="32"/>
        <v>AUX.OP3</v>
      </c>
      <c r="K70" s="19" t="s">
        <v>617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602</v>
      </c>
      <c r="B71" s="17" t="s">
        <v>603</v>
      </c>
      <c r="C71" s="19"/>
      <c r="D71" s="17" t="s">
        <v>609</v>
      </c>
      <c r="E71" s="17" t="str">
        <f t="shared" si="20"/>
        <v>CR0403.OP4</v>
      </c>
      <c r="F71" s="17" t="s">
        <v>58</v>
      </c>
      <c r="G71" s="21"/>
      <c r="H71" s="21"/>
      <c r="I71" s="21"/>
      <c r="J71" s="21" t="str">
        <f t="shared" si="32"/>
        <v>AUX.OP4</v>
      </c>
      <c r="K71" s="19" t="s">
        <v>618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602</v>
      </c>
      <c r="B72" s="17" t="s">
        <v>603</v>
      </c>
      <c r="C72" s="19"/>
      <c r="D72" s="17" t="s">
        <v>610</v>
      </c>
      <c r="E72" s="17" t="str">
        <f t="shared" si="20"/>
        <v>CR0403.OP5</v>
      </c>
      <c r="F72" s="17" t="s">
        <v>58</v>
      </c>
      <c r="G72" s="21"/>
      <c r="H72" s="21"/>
      <c r="I72" s="21"/>
      <c r="J72" s="21" t="str">
        <f t="shared" ref="J72:J75" si="43">_xlfn.CONCAT(A72,".",D72)</f>
        <v>AUX.OP5</v>
      </c>
      <c r="K72" s="19" t="s">
        <v>619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602</v>
      </c>
      <c r="B73" s="17" t="s">
        <v>603</v>
      </c>
      <c r="C73" s="19"/>
      <c r="D73" s="17" t="s">
        <v>611</v>
      </c>
      <c r="E73" s="17" t="str">
        <f t="shared" si="20"/>
        <v>CR0403.OP6</v>
      </c>
      <c r="F73" s="17" t="s">
        <v>58</v>
      </c>
      <c r="G73" s="21"/>
      <c r="H73" s="21"/>
      <c r="I73" s="21"/>
      <c r="J73" s="21" t="str">
        <f t="shared" si="43"/>
        <v>AUX.OP6</v>
      </c>
      <c r="K73" s="19" t="s">
        <v>828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602</v>
      </c>
      <c r="B74" s="17" t="s">
        <v>603</v>
      </c>
      <c r="C74" s="19"/>
      <c r="D74" s="17" t="s">
        <v>612</v>
      </c>
      <c r="E74" s="17" t="str">
        <f t="shared" si="20"/>
        <v>CR0403.OP7</v>
      </c>
      <c r="F74" s="17" t="s">
        <v>58</v>
      </c>
      <c r="G74" s="21"/>
      <c r="H74" s="21"/>
      <c r="I74" s="21"/>
      <c r="J74" s="21" t="str">
        <f t="shared" si="43"/>
        <v>AUX.OP7</v>
      </c>
      <c r="K74" s="19" t="s">
        <v>829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602</v>
      </c>
      <c r="B75" s="17" t="s">
        <v>603</v>
      </c>
      <c r="C75" s="19"/>
      <c r="D75" s="17" t="s">
        <v>613</v>
      </c>
      <c r="E75" s="17" t="str">
        <f t="shared" ref="E75:E78" si="54">_xlfn.CONCAT(B75,".",D75)</f>
        <v>CR0403.OP8</v>
      </c>
      <c r="F75" s="17" t="s">
        <v>58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602</v>
      </c>
      <c r="B76" s="17" t="s">
        <v>603</v>
      </c>
      <c r="C76" s="19"/>
      <c r="D76" s="17" t="s">
        <v>614</v>
      </c>
      <c r="E76" s="17" t="str">
        <f t="shared" si="54"/>
        <v>CR0403.OP9</v>
      </c>
      <c r="F76" s="17" t="s">
        <v>58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602</v>
      </c>
      <c r="B77" s="17" t="s">
        <v>603</v>
      </c>
      <c r="C77" s="19"/>
      <c r="D77" s="17" t="s">
        <v>615</v>
      </c>
      <c r="E77" s="17" t="str">
        <f t="shared" si="54"/>
        <v>CR0403.OP10</v>
      </c>
      <c r="F77" s="17" t="s">
        <v>58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602</v>
      </c>
      <c r="B78" s="17" t="s">
        <v>603</v>
      </c>
      <c r="C78" s="19"/>
      <c r="D78" s="17" t="s">
        <v>616</v>
      </c>
      <c r="E78" s="17" t="str">
        <f t="shared" si="54"/>
        <v>CR0403.OP11</v>
      </c>
      <c r="F78" s="17" t="s">
        <v>58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683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684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685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686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687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688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689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690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691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692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693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694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695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696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697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698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699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700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701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702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703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704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705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706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707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708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709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710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711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712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713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714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715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716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717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718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719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720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721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722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723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724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725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726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727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728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729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730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731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732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733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734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735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736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737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738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739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740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741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742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743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744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745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746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747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748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749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750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751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752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753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754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755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756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757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758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759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760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761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762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763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764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765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766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767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768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769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770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771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772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773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774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775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776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777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778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779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780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781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782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783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784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785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786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787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788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789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790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791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792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793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794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795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796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797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798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799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800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801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802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803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804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805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806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807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808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809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810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811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812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813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814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815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816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528</v>
      </c>
      <c r="C2">
        <v>0</v>
      </c>
    </row>
    <row r="3" spans="2:4" x14ac:dyDescent="0.25">
      <c r="B3" t="s">
        <v>528</v>
      </c>
      <c r="D3">
        <v>1500</v>
      </c>
    </row>
    <row r="5" spans="2:4" x14ac:dyDescent="0.25">
      <c r="B5" t="s">
        <v>528</v>
      </c>
      <c r="C5">
        <v>0</v>
      </c>
    </row>
    <row r="6" spans="2:4" x14ac:dyDescent="0.25">
      <c r="B6" t="s">
        <v>529</v>
      </c>
      <c r="D6">
        <v>1500</v>
      </c>
    </row>
    <row r="8" spans="2:4" x14ac:dyDescent="0.25">
      <c r="B8" t="s">
        <v>530</v>
      </c>
      <c r="C8">
        <v>0</v>
      </c>
    </row>
    <row r="9" spans="2:4" x14ac:dyDescent="0.25">
      <c r="B9" t="s">
        <v>531</v>
      </c>
      <c r="D9">
        <v>1500</v>
      </c>
    </row>
    <row r="11" spans="2:4" x14ac:dyDescent="0.25">
      <c r="B11" t="s">
        <v>533</v>
      </c>
      <c r="C11">
        <v>0</v>
      </c>
    </row>
    <row r="12" spans="2:4" x14ac:dyDescent="0.25">
      <c r="B12" t="s">
        <v>534</v>
      </c>
      <c r="D12">
        <v>1500</v>
      </c>
    </row>
    <row r="14" spans="2:4" x14ac:dyDescent="0.25">
      <c r="B14" t="s">
        <v>532</v>
      </c>
      <c r="C14">
        <v>0</v>
      </c>
    </row>
    <row r="15" spans="2:4" x14ac:dyDescent="0.25">
      <c r="B15" t="s">
        <v>535</v>
      </c>
      <c r="D15">
        <v>1500</v>
      </c>
    </row>
    <row r="17" spans="2:4" x14ac:dyDescent="0.25">
      <c r="B17" t="s">
        <v>536</v>
      </c>
      <c r="C17">
        <v>0</v>
      </c>
    </row>
    <row r="18" spans="2:4" x14ac:dyDescent="0.25">
      <c r="B18" t="s">
        <v>537</v>
      </c>
      <c r="D18">
        <v>1500</v>
      </c>
    </row>
    <row r="20" spans="2:4" x14ac:dyDescent="0.25">
      <c r="B20" t="s">
        <v>538</v>
      </c>
      <c r="C20">
        <v>0</v>
      </c>
      <c r="D20">
        <v>1</v>
      </c>
    </row>
    <row r="22" spans="2:4" x14ac:dyDescent="0.25">
      <c r="B22" t="s">
        <v>539</v>
      </c>
      <c r="C22">
        <v>0</v>
      </c>
    </row>
    <row r="23" spans="2:4" x14ac:dyDescent="0.25">
      <c r="B23" t="s">
        <v>541</v>
      </c>
    </row>
    <row r="24" spans="2:4" x14ac:dyDescent="0.25">
      <c r="B24" t="s">
        <v>540</v>
      </c>
      <c r="D24">
        <v>250</v>
      </c>
    </row>
    <row r="26" spans="2:4" x14ac:dyDescent="0.25">
      <c r="B26" t="s">
        <v>553</v>
      </c>
      <c r="C26">
        <v>0</v>
      </c>
      <c r="D26">
        <v>100</v>
      </c>
    </row>
    <row r="27" spans="2:4" x14ac:dyDescent="0.25">
      <c r="B27" t="s">
        <v>554</v>
      </c>
      <c r="C27">
        <v>0</v>
      </c>
      <c r="D27">
        <v>100</v>
      </c>
    </row>
    <row r="28" spans="2:4" x14ac:dyDescent="0.25">
      <c r="B28" t="s">
        <v>549</v>
      </c>
      <c r="C28">
        <v>0</v>
      </c>
      <c r="D28">
        <v>100</v>
      </c>
    </row>
    <row r="29" spans="2:4" x14ac:dyDescent="0.25">
      <c r="B29" t="s">
        <v>550</v>
      </c>
      <c r="C29">
        <v>0</v>
      </c>
      <c r="D29">
        <v>100</v>
      </c>
    </row>
    <row r="30" spans="2:4" x14ac:dyDescent="0.25">
      <c r="B30" t="s">
        <v>551</v>
      </c>
      <c r="C30">
        <v>0</v>
      </c>
      <c r="D30">
        <v>100</v>
      </c>
    </row>
    <row r="31" spans="2:4" x14ac:dyDescent="0.25">
      <c r="B31" t="s">
        <v>552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162</v>
      </c>
      <c r="B1" s="11"/>
      <c r="C1" s="11"/>
      <c r="D1" s="11" t="s">
        <v>163</v>
      </c>
      <c r="E1" s="11" t="s">
        <v>164</v>
      </c>
      <c r="F1" s="11" t="s">
        <v>5</v>
      </c>
      <c r="G1" s="12" t="s">
        <v>165</v>
      </c>
      <c r="I1" s="12" t="s">
        <v>166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167</v>
      </c>
      <c r="G2" s="6" t="s">
        <v>168</v>
      </c>
      <c r="H2" s="2" t="str">
        <f>_xlfn.CONCAT(LOWER(F2),E2)</f>
        <v>a63</v>
      </c>
      <c r="I2" s="6" t="s">
        <v>168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24</v>
      </c>
      <c r="E3" s="1">
        <v>64</v>
      </c>
      <c r="F3" s="1" t="s">
        <v>167</v>
      </c>
      <c r="G3" s="6" t="s">
        <v>168</v>
      </c>
      <c r="H3" s="2" t="str">
        <f t="shared" ref="H3:H66" si="1">_xlfn.CONCAT(LOWER(F3),E3)</f>
        <v>a64</v>
      </c>
      <c r="I3" s="6" t="s">
        <v>168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25</v>
      </c>
      <c r="E4" s="1">
        <v>65</v>
      </c>
      <c r="F4" s="1" t="s">
        <v>167</v>
      </c>
      <c r="G4" s="6" t="s">
        <v>168</v>
      </c>
      <c r="H4" s="2" t="str">
        <f t="shared" si="1"/>
        <v>a65</v>
      </c>
      <c r="I4" s="6" t="s">
        <v>168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26</v>
      </c>
      <c r="E5" s="1">
        <v>66</v>
      </c>
      <c r="F5" s="1" t="s">
        <v>167</v>
      </c>
      <c r="G5" s="6" t="s">
        <v>168</v>
      </c>
      <c r="H5" s="2" t="str">
        <f t="shared" si="1"/>
        <v>a66</v>
      </c>
      <c r="I5" s="6" t="s">
        <v>168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27</v>
      </c>
      <c r="E6" s="1">
        <v>67</v>
      </c>
      <c r="F6" s="1" t="s">
        <v>167</v>
      </c>
      <c r="G6" s="6" t="s">
        <v>168</v>
      </c>
      <c r="H6" s="2" t="str">
        <f t="shared" si="1"/>
        <v>a67</v>
      </c>
      <c r="I6" s="6" t="s">
        <v>168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28</v>
      </c>
      <c r="E7" s="1">
        <v>68</v>
      </c>
      <c r="F7" s="1" t="s">
        <v>167</v>
      </c>
      <c r="G7" s="6" t="s">
        <v>168</v>
      </c>
      <c r="H7" s="2" t="str">
        <f t="shared" si="1"/>
        <v>a68</v>
      </c>
      <c r="I7" s="6" t="s">
        <v>168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29</v>
      </c>
      <c r="E8" s="1">
        <v>69</v>
      </c>
      <c r="F8" s="1" t="s">
        <v>167</v>
      </c>
      <c r="G8" s="6" t="s">
        <v>168</v>
      </c>
      <c r="H8" s="2" t="str">
        <f t="shared" si="1"/>
        <v>a69</v>
      </c>
      <c r="I8" s="6" t="s">
        <v>168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30</v>
      </c>
      <c r="E9" s="1">
        <v>70</v>
      </c>
      <c r="F9" s="1" t="s">
        <v>167</v>
      </c>
      <c r="G9" s="6" t="s">
        <v>168</v>
      </c>
      <c r="H9" s="2" t="str">
        <f t="shared" si="1"/>
        <v>a70</v>
      </c>
      <c r="I9" s="6" t="s">
        <v>168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32</v>
      </c>
      <c r="E10" s="1">
        <v>55</v>
      </c>
      <c r="F10" s="1" t="s">
        <v>167</v>
      </c>
      <c r="G10" s="6" t="s">
        <v>168</v>
      </c>
      <c r="H10" s="2" t="str">
        <f t="shared" si="1"/>
        <v>a55</v>
      </c>
      <c r="I10" s="6" t="s">
        <v>168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33</v>
      </c>
      <c r="E11" s="1">
        <v>56</v>
      </c>
      <c r="F11" s="1" t="s">
        <v>167</v>
      </c>
      <c r="G11" s="7" t="s">
        <v>168</v>
      </c>
      <c r="H11" s="2" t="str">
        <f t="shared" si="1"/>
        <v>a56</v>
      </c>
      <c r="I11" s="7" t="s">
        <v>168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34</v>
      </c>
      <c r="E12" s="1">
        <v>57</v>
      </c>
      <c r="F12" s="1" t="s">
        <v>167</v>
      </c>
      <c r="G12" s="6" t="s">
        <v>168</v>
      </c>
      <c r="H12" s="2" t="str">
        <f t="shared" si="1"/>
        <v>a57</v>
      </c>
      <c r="I12" s="6" t="s">
        <v>168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35</v>
      </c>
      <c r="E13" s="1">
        <v>58</v>
      </c>
      <c r="F13" s="1" t="s">
        <v>167</v>
      </c>
      <c r="G13" s="6" t="s">
        <v>168</v>
      </c>
      <c r="H13" s="2" t="str">
        <f t="shared" si="1"/>
        <v>a58</v>
      </c>
      <c r="I13" s="6" t="s">
        <v>168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36</v>
      </c>
      <c r="E14" s="1">
        <v>59</v>
      </c>
      <c r="F14" s="1" t="s">
        <v>167</v>
      </c>
      <c r="G14" s="6" t="s">
        <v>168</v>
      </c>
      <c r="H14" s="2" t="str">
        <f t="shared" si="1"/>
        <v>a59</v>
      </c>
      <c r="I14" s="6" t="s">
        <v>168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37</v>
      </c>
      <c r="E15" s="1">
        <v>60</v>
      </c>
      <c r="F15" s="1" t="s">
        <v>167</v>
      </c>
      <c r="G15" s="6" t="s">
        <v>168</v>
      </c>
      <c r="H15" s="2" t="str">
        <f t="shared" si="1"/>
        <v>a60</v>
      </c>
      <c r="I15" s="6" t="s">
        <v>168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38</v>
      </c>
      <c r="E16" s="1">
        <v>61</v>
      </c>
      <c r="F16" s="1" t="s">
        <v>167</v>
      </c>
      <c r="G16" s="6" t="s">
        <v>168</v>
      </c>
      <c r="H16" s="2" t="str">
        <f t="shared" si="1"/>
        <v>a61</v>
      </c>
      <c r="I16" s="6" t="s">
        <v>168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39</v>
      </c>
      <c r="E17" s="1">
        <v>62</v>
      </c>
      <c r="F17" s="1" t="s">
        <v>167</v>
      </c>
      <c r="G17" s="6" t="s">
        <v>168</v>
      </c>
      <c r="H17" s="2" t="str">
        <f t="shared" si="1"/>
        <v>a62</v>
      </c>
      <c r="I17" s="6" t="s">
        <v>168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40</v>
      </c>
      <c r="E18" s="1">
        <v>25</v>
      </c>
      <c r="F18" s="1" t="s">
        <v>167</v>
      </c>
      <c r="G18" s="6" t="s">
        <v>169</v>
      </c>
      <c r="H18" s="2" t="str">
        <f t="shared" si="1"/>
        <v>a25</v>
      </c>
      <c r="I18" s="6" t="s">
        <v>169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42</v>
      </c>
      <c r="E19" s="1">
        <v>26</v>
      </c>
      <c r="F19" s="1" t="s">
        <v>167</v>
      </c>
      <c r="G19" s="6" t="s">
        <v>169</v>
      </c>
      <c r="H19" s="2" t="str">
        <f t="shared" si="1"/>
        <v>a26</v>
      </c>
      <c r="I19" s="6" t="s">
        <v>169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43</v>
      </c>
      <c r="E20" s="1">
        <v>27</v>
      </c>
      <c r="F20" s="1" t="s">
        <v>167</v>
      </c>
      <c r="G20" s="6" t="s">
        <v>169</v>
      </c>
      <c r="H20" s="2" t="str">
        <f t="shared" si="1"/>
        <v>a27</v>
      </c>
      <c r="I20" s="6" t="s">
        <v>169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44</v>
      </c>
      <c r="E21" s="1">
        <v>28</v>
      </c>
      <c r="F21" s="1" t="s">
        <v>167</v>
      </c>
      <c r="G21" s="6" t="s">
        <v>169</v>
      </c>
      <c r="H21" s="2" t="str">
        <f t="shared" si="1"/>
        <v>a28</v>
      </c>
      <c r="I21" s="6" t="s">
        <v>169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45</v>
      </c>
      <c r="E22" s="1">
        <v>40</v>
      </c>
      <c r="F22" s="1" t="s">
        <v>167</v>
      </c>
      <c r="G22" s="6" t="s">
        <v>169</v>
      </c>
      <c r="H22" s="2" t="str">
        <f t="shared" si="1"/>
        <v>a40</v>
      </c>
      <c r="I22" s="6" t="s">
        <v>169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46</v>
      </c>
      <c r="E23" s="1">
        <v>41</v>
      </c>
      <c r="F23" s="1" t="s">
        <v>167</v>
      </c>
      <c r="G23" s="6" t="s">
        <v>169</v>
      </c>
      <c r="H23" s="2" t="str">
        <f t="shared" si="1"/>
        <v>a41</v>
      </c>
      <c r="I23" s="6" t="s">
        <v>169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47</v>
      </c>
      <c r="E24" s="1">
        <v>42</v>
      </c>
      <c r="F24" s="1" t="s">
        <v>167</v>
      </c>
      <c r="G24" s="6" t="s">
        <v>169</v>
      </c>
      <c r="H24" s="2" t="str">
        <f t="shared" si="1"/>
        <v>a42</v>
      </c>
      <c r="I24" s="6" t="s">
        <v>169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48</v>
      </c>
      <c r="E25" s="1">
        <v>43</v>
      </c>
      <c r="F25" s="1" t="s">
        <v>167</v>
      </c>
      <c r="G25" s="6" t="s">
        <v>169</v>
      </c>
      <c r="H25" s="2" t="str">
        <f t="shared" si="1"/>
        <v>a43</v>
      </c>
      <c r="I25" s="6" t="s">
        <v>169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49</v>
      </c>
      <c r="E26" s="1">
        <v>46</v>
      </c>
      <c r="F26" s="1" t="s">
        <v>167</v>
      </c>
      <c r="G26" s="8" t="s">
        <v>170</v>
      </c>
      <c r="H26" s="2" t="str">
        <f t="shared" si="1"/>
        <v>a46</v>
      </c>
      <c r="I26" s="8" t="s">
        <v>170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50</v>
      </c>
      <c r="E27" s="1">
        <v>47</v>
      </c>
      <c r="F27" s="1" t="s">
        <v>167</v>
      </c>
      <c r="G27" s="8" t="s">
        <v>170</v>
      </c>
      <c r="H27" s="2" t="str">
        <f t="shared" si="1"/>
        <v>a47</v>
      </c>
      <c r="I27" s="8" t="s">
        <v>170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51</v>
      </c>
      <c r="E28" s="1">
        <v>38</v>
      </c>
      <c r="F28" s="1" t="s">
        <v>167</v>
      </c>
      <c r="G28" s="8" t="s">
        <v>170</v>
      </c>
      <c r="H28" s="2" t="str">
        <f t="shared" si="1"/>
        <v>a38</v>
      </c>
      <c r="I28" s="8" t="s">
        <v>170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52</v>
      </c>
      <c r="E29" s="1">
        <v>39</v>
      </c>
      <c r="F29" s="1" t="s">
        <v>167</v>
      </c>
      <c r="G29" s="8" t="s">
        <v>170</v>
      </c>
      <c r="H29" s="2" t="str">
        <f t="shared" si="1"/>
        <v>a39</v>
      </c>
      <c r="I29" s="8" t="s">
        <v>170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53</v>
      </c>
      <c r="E30" s="1">
        <v>44</v>
      </c>
      <c r="F30" s="1" t="s">
        <v>167</v>
      </c>
      <c r="G30" s="8" t="s">
        <v>171</v>
      </c>
      <c r="H30" s="2" t="str">
        <f t="shared" si="1"/>
        <v>a44</v>
      </c>
      <c r="I30" s="8" t="s">
        <v>171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54</v>
      </c>
      <c r="E31" s="1">
        <v>45</v>
      </c>
      <c r="F31" s="1" t="s">
        <v>167</v>
      </c>
      <c r="G31" s="8" t="s">
        <v>171</v>
      </c>
      <c r="H31" s="2" t="str">
        <f t="shared" si="1"/>
        <v>a45</v>
      </c>
      <c r="I31" s="8" t="s">
        <v>171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55</v>
      </c>
      <c r="E32" s="1">
        <v>36</v>
      </c>
      <c r="F32" s="1" t="s">
        <v>167</v>
      </c>
      <c r="G32" s="8" t="s">
        <v>171</v>
      </c>
      <c r="H32" s="2" t="str">
        <f t="shared" si="1"/>
        <v>a36</v>
      </c>
      <c r="I32" s="8" t="s">
        <v>171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56</v>
      </c>
      <c r="E33" s="1">
        <v>37</v>
      </c>
      <c r="F33" s="1" t="s">
        <v>167</v>
      </c>
      <c r="G33" s="8" t="s">
        <v>171</v>
      </c>
      <c r="H33" s="2" t="str">
        <f t="shared" si="1"/>
        <v>a37</v>
      </c>
      <c r="I33" s="8" t="s">
        <v>171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57</v>
      </c>
      <c r="E34" s="1">
        <v>16</v>
      </c>
      <c r="F34" s="1" t="s">
        <v>167</v>
      </c>
      <c r="G34" s="8" t="s">
        <v>172</v>
      </c>
      <c r="H34" s="2" t="str">
        <f t="shared" si="1"/>
        <v>a16</v>
      </c>
      <c r="I34" s="8" t="s">
        <v>173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59</v>
      </c>
      <c r="E35" s="1">
        <v>17</v>
      </c>
      <c r="F35" s="1" t="s">
        <v>167</v>
      </c>
      <c r="G35" s="8" t="s">
        <v>174</v>
      </c>
      <c r="H35" s="2" t="str">
        <f t="shared" si="1"/>
        <v>a17</v>
      </c>
      <c r="I35" s="8" t="s">
        <v>173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60</v>
      </c>
      <c r="E36" s="1">
        <v>18</v>
      </c>
      <c r="F36" s="1" t="s">
        <v>167</v>
      </c>
      <c r="G36" s="8" t="s">
        <v>172</v>
      </c>
      <c r="H36" s="2" t="str">
        <f t="shared" si="1"/>
        <v>a18</v>
      </c>
      <c r="I36" s="8" t="s">
        <v>173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61</v>
      </c>
      <c r="E37" s="1">
        <v>19</v>
      </c>
      <c r="F37" s="1" t="s">
        <v>167</v>
      </c>
      <c r="G37" s="8" t="s">
        <v>174</v>
      </c>
      <c r="H37" s="2" t="str">
        <f t="shared" si="1"/>
        <v>a19</v>
      </c>
      <c r="I37" s="8" t="s">
        <v>173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62</v>
      </c>
      <c r="E38" s="1">
        <v>20</v>
      </c>
      <c r="F38" s="1" t="s">
        <v>167</v>
      </c>
      <c r="G38" s="8" t="s">
        <v>172</v>
      </c>
      <c r="H38" s="2" t="str">
        <f t="shared" si="1"/>
        <v>a20</v>
      </c>
      <c r="I38" s="8" t="s">
        <v>173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63</v>
      </c>
      <c r="E39" s="1">
        <v>21</v>
      </c>
      <c r="F39" s="1" t="s">
        <v>167</v>
      </c>
      <c r="G39" s="8" t="s">
        <v>174</v>
      </c>
      <c r="H39" s="2" t="str">
        <f t="shared" si="1"/>
        <v>a21</v>
      </c>
      <c r="I39" s="8" t="s">
        <v>173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64</v>
      </c>
      <c r="E40" s="1">
        <v>22</v>
      </c>
      <c r="F40" s="1" t="s">
        <v>167</v>
      </c>
      <c r="G40" s="8" t="s">
        <v>175</v>
      </c>
      <c r="H40" s="2" t="str">
        <f t="shared" si="1"/>
        <v>a22</v>
      </c>
      <c r="I40" s="8" t="s">
        <v>176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65</v>
      </c>
      <c r="E41" s="1">
        <v>23</v>
      </c>
      <c r="F41" s="1" t="s">
        <v>167</v>
      </c>
      <c r="G41" s="8" t="s">
        <v>175</v>
      </c>
      <c r="H41" s="2" t="str">
        <f t="shared" si="1"/>
        <v>a23</v>
      </c>
      <c r="I41" s="8" t="s">
        <v>176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66</v>
      </c>
      <c r="E42" s="1">
        <v>24</v>
      </c>
      <c r="F42" s="1" t="s">
        <v>167</v>
      </c>
      <c r="G42" s="8" t="s">
        <v>177</v>
      </c>
      <c r="H42" s="2" t="str">
        <f t="shared" si="1"/>
        <v>a24</v>
      </c>
      <c r="I42" s="8" t="s">
        <v>176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70</v>
      </c>
      <c r="E43" s="1">
        <v>6</v>
      </c>
      <c r="F43" s="1" t="s">
        <v>167</v>
      </c>
      <c r="G43" s="8" t="s">
        <v>172</v>
      </c>
      <c r="H43" s="2" t="str">
        <f t="shared" si="1"/>
        <v>a6</v>
      </c>
      <c r="I43" s="8" t="s">
        <v>173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71</v>
      </c>
      <c r="E44" s="1">
        <v>7</v>
      </c>
      <c r="F44" s="1" t="s">
        <v>167</v>
      </c>
      <c r="G44" s="8" t="s">
        <v>174</v>
      </c>
      <c r="H44" s="2" t="str">
        <f t="shared" si="1"/>
        <v>a7</v>
      </c>
      <c r="I44" s="8" t="s">
        <v>173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72</v>
      </c>
      <c r="E45" s="1">
        <v>8</v>
      </c>
      <c r="F45" s="1" t="s">
        <v>167</v>
      </c>
      <c r="G45" s="8" t="s">
        <v>172</v>
      </c>
      <c r="H45" s="2" t="str">
        <f t="shared" si="1"/>
        <v>a8</v>
      </c>
      <c r="I45" s="8" t="s">
        <v>173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73</v>
      </c>
      <c r="E46" s="1">
        <v>9</v>
      </c>
      <c r="F46" s="1" t="s">
        <v>167</v>
      </c>
      <c r="G46" s="8" t="s">
        <v>174</v>
      </c>
      <c r="H46" s="2" t="str">
        <f t="shared" si="1"/>
        <v>a9</v>
      </c>
      <c r="I46" s="8" t="s">
        <v>173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74</v>
      </c>
      <c r="E47" s="1">
        <v>10</v>
      </c>
      <c r="F47" s="1" t="s">
        <v>167</v>
      </c>
      <c r="G47" s="8" t="s">
        <v>172</v>
      </c>
      <c r="H47" s="2" t="str">
        <f t="shared" si="1"/>
        <v>a10</v>
      </c>
      <c r="I47" s="8" t="s">
        <v>173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75</v>
      </c>
      <c r="E48" s="1">
        <v>11</v>
      </c>
      <c r="F48" s="1" t="s">
        <v>167</v>
      </c>
      <c r="G48" s="8" t="s">
        <v>174</v>
      </c>
      <c r="H48" s="2" t="str">
        <f t="shared" si="1"/>
        <v>a11</v>
      </c>
      <c r="I48" s="8" t="s">
        <v>173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76</v>
      </c>
      <c r="E49" s="1">
        <v>12</v>
      </c>
      <c r="F49" s="1" t="s">
        <v>167</v>
      </c>
      <c r="G49" s="8" t="s">
        <v>175</v>
      </c>
      <c r="H49" s="2" t="str">
        <f t="shared" si="1"/>
        <v>a12</v>
      </c>
      <c r="I49" s="8" t="s">
        <v>176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77</v>
      </c>
      <c r="E50" s="1">
        <v>13</v>
      </c>
      <c r="F50" s="1" t="s">
        <v>167</v>
      </c>
      <c r="G50" s="8" t="s">
        <v>175</v>
      </c>
      <c r="H50" s="2" t="str">
        <f t="shared" si="1"/>
        <v>a13</v>
      </c>
      <c r="I50" s="8" t="s">
        <v>176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78</v>
      </c>
      <c r="E51" s="1">
        <v>14</v>
      </c>
      <c r="F51" s="1" t="s">
        <v>167</v>
      </c>
      <c r="G51" s="8" t="s">
        <v>177</v>
      </c>
      <c r="H51" s="2" t="str">
        <f t="shared" si="1"/>
        <v>a14</v>
      </c>
      <c r="I51" s="8" t="s">
        <v>176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80</v>
      </c>
      <c r="E52" s="1">
        <v>73</v>
      </c>
      <c r="F52" s="1" t="s">
        <v>167</v>
      </c>
      <c r="G52" s="8" t="s">
        <v>172</v>
      </c>
      <c r="H52" s="2" t="str">
        <f t="shared" si="1"/>
        <v>a73</v>
      </c>
      <c r="I52" s="8" t="s">
        <v>173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81</v>
      </c>
      <c r="E53" s="1">
        <v>74</v>
      </c>
      <c r="F53" s="1" t="s">
        <v>167</v>
      </c>
      <c r="G53" s="8" t="s">
        <v>174</v>
      </c>
      <c r="H53" s="2" t="str">
        <f t="shared" si="1"/>
        <v>a74</v>
      </c>
      <c r="I53" s="8" t="s">
        <v>173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82</v>
      </c>
      <c r="E54" s="1">
        <v>75</v>
      </c>
      <c r="F54" s="1" t="s">
        <v>167</v>
      </c>
      <c r="G54" s="8" t="s">
        <v>172</v>
      </c>
      <c r="H54" s="2" t="str">
        <f t="shared" si="1"/>
        <v>a75</v>
      </c>
      <c r="I54" s="8" t="s">
        <v>173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83</v>
      </c>
      <c r="E55" s="1">
        <v>76</v>
      </c>
      <c r="F55" s="1" t="s">
        <v>167</v>
      </c>
      <c r="G55" s="8" t="s">
        <v>174</v>
      </c>
      <c r="H55" s="2" t="str">
        <f t="shared" si="1"/>
        <v>a76</v>
      </c>
      <c r="I55" s="8" t="s">
        <v>173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84</v>
      </c>
      <c r="E56" s="1">
        <v>77</v>
      </c>
      <c r="F56" s="1" t="s">
        <v>167</v>
      </c>
      <c r="G56" s="8" t="s">
        <v>172</v>
      </c>
      <c r="H56" s="2" t="str">
        <f t="shared" si="1"/>
        <v>a77</v>
      </c>
      <c r="I56" s="8" t="s">
        <v>173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85</v>
      </c>
      <c r="E57" s="1">
        <v>78</v>
      </c>
      <c r="F57" s="1" t="s">
        <v>167</v>
      </c>
      <c r="G57" s="8" t="s">
        <v>174</v>
      </c>
      <c r="H57" s="2" t="str">
        <f t="shared" si="1"/>
        <v>a78</v>
      </c>
      <c r="I57" s="8" t="s">
        <v>173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86</v>
      </c>
      <c r="E58" s="1">
        <v>79</v>
      </c>
      <c r="F58" s="1" t="s">
        <v>167</v>
      </c>
      <c r="G58" s="8" t="s">
        <v>175</v>
      </c>
      <c r="H58" s="2" t="str">
        <f t="shared" si="1"/>
        <v>a79</v>
      </c>
      <c r="I58" s="8" t="s">
        <v>176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87</v>
      </c>
      <c r="E59" s="1">
        <v>80</v>
      </c>
      <c r="F59" s="1" t="s">
        <v>167</v>
      </c>
      <c r="G59" s="8" t="s">
        <v>175</v>
      </c>
      <c r="H59" s="2" t="str">
        <f t="shared" si="1"/>
        <v>a80</v>
      </c>
      <c r="I59" s="8" t="s">
        <v>176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88</v>
      </c>
      <c r="E60" s="1">
        <v>81</v>
      </c>
      <c r="F60" s="1" t="s">
        <v>167</v>
      </c>
      <c r="G60" s="8" t="s">
        <v>177</v>
      </c>
      <c r="H60" s="2" t="str">
        <f t="shared" si="1"/>
        <v>a81</v>
      </c>
      <c r="I60" s="8" t="s">
        <v>176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90</v>
      </c>
      <c r="E61" s="1">
        <v>31</v>
      </c>
      <c r="F61" s="1" t="s">
        <v>167</v>
      </c>
      <c r="G61" s="8" t="s">
        <v>178</v>
      </c>
      <c r="H61" s="2" t="str">
        <f t="shared" si="1"/>
        <v>a31</v>
      </c>
      <c r="I61" s="8" t="s">
        <v>179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92</v>
      </c>
      <c r="E62" s="1">
        <v>32</v>
      </c>
      <c r="F62" s="1" t="s">
        <v>167</v>
      </c>
      <c r="G62" s="8" t="s">
        <v>180</v>
      </c>
      <c r="H62" s="2" t="str">
        <f t="shared" si="1"/>
        <v>a32</v>
      </c>
      <c r="I62" s="8" t="s">
        <v>181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67</v>
      </c>
      <c r="E63" s="1">
        <v>4</v>
      </c>
      <c r="F63" s="1" t="s">
        <v>167</v>
      </c>
      <c r="G63" s="8" t="s">
        <v>182</v>
      </c>
      <c r="H63" s="2" t="str">
        <f t="shared" si="1"/>
        <v>a4</v>
      </c>
      <c r="I63" s="8" t="s">
        <v>183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79</v>
      </c>
      <c r="E64" s="1">
        <v>3</v>
      </c>
      <c r="F64" s="1" t="s">
        <v>167</v>
      </c>
      <c r="G64" s="8" t="s">
        <v>184</v>
      </c>
      <c r="H64" s="2" t="str">
        <f t="shared" si="1"/>
        <v>a3</v>
      </c>
      <c r="I64" s="8" t="s">
        <v>185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89</v>
      </c>
      <c r="E65" s="1">
        <v>1</v>
      </c>
      <c r="F65" s="1" t="s">
        <v>167</v>
      </c>
      <c r="G65" s="8" t="s">
        <v>186</v>
      </c>
      <c r="H65" s="2" t="str">
        <f t="shared" si="1"/>
        <v>a1</v>
      </c>
      <c r="I65" s="8" t="s">
        <v>187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94</v>
      </c>
      <c r="D66" s="1" t="s">
        <v>20</v>
      </c>
      <c r="E66" s="1">
        <v>63</v>
      </c>
      <c r="F66" s="1" t="s">
        <v>167</v>
      </c>
      <c r="G66" s="6" t="s">
        <v>168</v>
      </c>
      <c r="H66" s="2" t="str">
        <f t="shared" si="1"/>
        <v>a63</v>
      </c>
      <c r="I66" s="6" t="s">
        <v>168</v>
      </c>
    </row>
    <row r="67" spans="1:9" x14ac:dyDescent="0.2">
      <c r="A67" s="2">
        <v>2</v>
      </c>
      <c r="B67" s="1" t="str">
        <f t="shared" si="3"/>
        <v>CR721S.IN0101</v>
      </c>
      <c r="C67" s="1" t="s">
        <v>94</v>
      </c>
      <c r="D67" s="1" t="s">
        <v>24</v>
      </c>
      <c r="E67" s="1">
        <v>64</v>
      </c>
      <c r="F67" s="1" t="s">
        <v>167</v>
      </c>
      <c r="G67" s="6" t="s">
        <v>168</v>
      </c>
      <c r="H67" s="2" t="str">
        <f t="shared" ref="H67:H130" si="4">_xlfn.CONCAT(LOWER(F67),E67)</f>
        <v>a64</v>
      </c>
      <c r="I67" s="6" t="s">
        <v>168</v>
      </c>
    </row>
    <row r="68" spans="1:9" x14ac:dyDescent="0.2">
      <c r="A68" s="2">
        <v>3</v>
      </c>
      <c r="B68" s="1" t="str">
        <f t="shared" si="3"/>
        <v>CR721S.IN0102</v>
      </c>
      <c r="C68" s="1" t="s">
        <v>94</v>
      </c>
      <c r="D68" s="1" t="s">
        <v>25</v>
      </c>
      <c r="E68" s="1">
        <v>65</v>
      </c>
      <c r="F68" s="1" t="s">
        <v>167</v>
      </c>
      <c r="G68" s="6" t="s">
        <v>168</v>
      </c>
      <c r="H68" s="2" t="str">
        <f t="shared" si="4"/>
        <v>a65</v>
      </c>
      <c r="I68" s="6" t="s">
        <v>168</v>
      </c>
    </row>
    <row r="69" spans="1:9" x14ac:dyDescent="0.2">
      <c r="A69" s="2">
        <v>4</v>
      </c>
      <c r="B69" s="1" t="str">
        <f t="shared" si="3"/>
        <v>CR721S.IN0103</v>
      </c>
      <c r="C69" s="1" t="s">
        <v>94</v>
      </c>
      <c r="D69" s="1" t="s">
        <v>26</v>
      </c>
      <c r="E69" s="1">
        <v>66</v>
      </c>
      <c r="F69" s="1" t="s">
        <v>167</v>
      </c>
      <c r="G69" s="6" t="s">
        <v>168</v>
      </c>
      <c r="H69" s="2" t="str">
        <f t="shared" si="4"/>
        <v>a66</v>
      </c>
      <c r="I69" s="6" t="s">
        <v>168</v>
      </c>
    </row>
    <row r="70" spans="1:9" x14ac:dyDescent="0.2">
      <c r="A70" s="2">
        <v>5</v>
      </c>
      <c r="B70" s="1" t="str">
        <f t="shared" si="3"/>
        <v>CR721S.IN0200</v>
      </c>
      <c r="C70" s="1" t="s">
        <v>94</v>
      </c>
      <c r="D70" s="1" t="s">
        <v>27</v>
      </c>
      <c r="E70" s="1">
        <v>67</v>
      </c>
      <c r="F70" s="1" t="s">
        <v>167</v>
      </c>
      <c r="G70" s="6" t="s">
        <v>168</v>
      </c>
      <c r="H70" s="2" t="str">
        <f t="shared" si="4"/>
        <v>a67</v>
      </c>
      <c r="I70" s="6" t="s">
        <v>168</v>
      </c>
    </row>
    <row r="71" spans="1:9" x14ac:dyDescent="0.2">
      <c r="A71" s="2">
        <v>6</v>
      </c>
      <c r="B71" s="1" t="str">
        <f t="shared" si="3"/>
        <v>CR721S.IN0201</v>
      </c>
      <c r="C71" s="1" t="s">
        <v>94</v>
      </c>
      <c r="D71" s="1" t="s">
        <v>28</v>
      </c>
      <c r="E71" s="1">
        <v>68</v>
      </c>
      <c r="F71" s="1" t="s">
        <v>167</v>
      </c>
      <c r="G71" s="6" t="s">
        <v>168</v>
      </c>
      <c r="H71" s="2" t="str">
        <f t="shared" si="4"/>
        <v>a68</v>
      </c>
      <c r="I71" s="6" t="s">
        <v>168</v>
      </c>
    </row>
    <row r="72" spans="1:9" x14ac:dyDescent="0.2">
      <c r="A72" s="2">
        <v>7</v>
      </c>
      <c r="B72" s="1" t="str">
        <f t="shared" si="3"/>
        <v>CR721S.IN0202</v>
      </c>
      <c r="C72" s="1" t="s">
        <v>94</v>
      </c>
      <c r="D72" s="1" t="s">
        <v>29</v>
      </c>
      <c r="E72" s="1">
        <v>69</v>
      </c>
      <c r="F72" s="1" t="s">
        <v>167</v>
      </c>
      <c r="G72" s="6" t="s">
        <v>168</v>
      </c>
      <c r="H72" s="2" t="str">
        <f t="shared" si="4"/>
        <v>a69</v>
      </c>
      <c r="I72" s="6" t="s">
        <v>168</v>
      </c>
    </row>
    <row r="73" spans="1:9" x14ac:dyDescent="0.2">
      <c r="A73" s="2">
        <v>8</v>
      </c>
      <c r="B73" s="1" t="str">
        <f t="shared" si="3"/>
        <v>CR721S.IN0203</v>
      </c>
      <c r="C73" s="1" t="s">
        <v>94</v>
      </c>
      <c r="D73" s="1" t="s">
        <v>30</v>
      </c>
      <c r="E73" s="1">
        <v>70</v>
      </c>
      <c r="F73" s="1" t="s">
        <v>167</v>
      </c>
      <c r="G73" s="6" t="s">
        <v>168</v>
      </c>
      <c r="H73" s="2" t="str">
        <f t="shared" si="4"/>
        <v>a70</v>
      </c>
      <c r="I73" s="6" t="s">
        <v>168</v>
      </c>
    </row>
    <row r="74" spans="1:9" x14ac:dyDescent="0.2">
      <c r="A74" s="2">
        <v>9</v>
      </c>
      <c r="B74" s="1" t="str">
        <f t="shared" si="3"/>
        <v>CR721S.IN0600</v>
      </c>
      <c r="C74" s="1" t="s">
        <v>94</v>
      </c>
      <c r="D74" s="1" t="s">
        <v>32</v>
      </c>
      <c r="E74" s="1">
        <v>55</v>
      </c>
      <c r="F74" s="1" t="s">
        <v>167</v>
      </c>
      <c r="G74" s="6" t="s">
        <v>168</v>
      </c>
      <c r="H74" s="2" t="str">
        <f t="shared" si="4"/>
        <v>a55</v>
      </c>
      <c r="I74" s="6" t="s">
        <v>168</v>
      </c>
    </row>
    <row r="75" spans="1:9" x14ac:dyDescent="0.2">
      <c r="A75" s="2">
        <v>10</v>
      </c>
      <c r="B75" s="1" t="str">
        <f t="shared" si="3"/>
        <v>CR721S.IN0601</v>
      </c>
      <c r="C75" s="1" t="s">
        <v>94</v>
      </c>
      <c r="D75" s="1" t="s">
        <v>33</v>
      </c>
      <c r="E75" s="1">
        <v>56</v>
      </c>
      <c r="F75" s="1" t="s">
        <v>167</v>
      </c>
      <c r="G75" s="7" t="s">
        <v>168</v>
      </c>
      <c r="H75" s="2" t="str">
        <f t="shared" si="4"/>
        <v>a56</v>
      </c>
      <c r="I75" s="7" t="s">
        <v>168</v>
      </c>
    </row>
    <row r="76" spans="1:9" x14ac:dyDescent="0.2">
      <c r="A76" s="2">
        <v>11</v>
      </c>
      <c r="B76" s="1" t="str">
        <f t="shared" si="3"/>
        <v>CR721S.IN0602</v>
      </c>
      <c r="C76" s="1" t="s">
        <v>94</v>
      </c>
      <c r="D76" s="1" t="s">
        <v>34</v>
      </c>
      <c r="E76" s="1">
        <v>57</v>
      </c>
      <c r="F76" s="1" t="s">
        <v>167</v>
      </c>
      <c r="G76" s="6" t="s">
        <v>168</v>
      </c>
      <c r="H76" s="2" t="str">
        <f t="shared" si="4"/>
        <v>a57</v>
      </c>
      <c r="I76" s="6" t="s">
        <v>168</v>
      </c>
    </row>
    <row r="77" spans="1:9" x14ac:dyDescent="0.2">
      <c r="A77" s="2">
        <v>12</v>
      </c>
      <c r="B77" s="1" t="str">
        <f t="shared" si="3"/>
        <v>CR721S.IN0603</v>
      </c>
      <c r="C77" s="1" t="s">
        <v>94</v>
      </c>
      <c r="D77" s="1" t="s">
        <v>35</v>
      </c>
      <c r="E77" s="1">
        <v>58</v>
      </c>
      <c r="F77" s="1" t="s">
        <v>167</v>
      </c>
      <c r="G77" s="6" t="s">
        <v>168</v>
      </c>
      <c r="H77" s="2" t="str">
        <f t="shared" si="4"/>
        <v>a58</v>
      </c>
      <c r="I77" s="6" t="s">
        <v>168</v>
      </c>
    </row>
    <row r="78" spans="1:9" x14ac:dyDescent="0.2">
      <c r="A78" s="2">
        <v>13</v>
      </c>
      <c r="B78" s="1" t="str">
        <f t="shared" si="3"/>
        <v>CR721S.IN0700</v>
      </c>
      <c r="C78" s="1" t="s">
        <v>94</v>
      </c>
      <c r="D78" s="1" t="s">
        <v>36</v>
      </c>
      <c r="E78" s="1">
        <v>59</v>
      </c>
      <c r="F78" s="1" t="s">
        <v>167</v>
      </c>
      <c r="G78" s="6" t="s">
        <v>168</v>
      </c>
      <c r="H78" s="2" t="str">
        <f t="shared" si="4"/>
        <v>a59</v>
      </c>
      <c r="I78" s="6" t="s">
        <v>168</v>
      </c>
    </row>
    <row r="79" spans="1:9" x14ac:dyDescent="0.2">
      <c r="A79" s="2">
        <v>14</v>
      </c>
      <c r="B79" s="1" t="str">
        <f t="shared" si="3"/>
        <v>CR721S.IN0701</v>
      </c>
      <c r="C79" s="1" t="s">
        <v>94</v>
      </c>
      <c r="D79" s="1" t="s">
        <v>37</v>
      </c>
      <c r="E79" s="1">
        <v>60</v>
      </c>
      <c r="F79" s="1" t="s">
        <v>167</v>
      </c>
      <c r="G79" s="6" t="s">
        <v>168</v>
      </c>
      <c r="H79" s="2" t="str">
        <f t="shared" si="4"/>
        <v>a60</v>
      </c>
      <c r="I79" s="6" t="s">
        <v>168</v>
      </c>
    </row>
    <row r="80" spans="1:9" x14ac:dyDescent="0.2">
      <c r="A80" s="2">
        <v>15</v>
      </c>
      <c r="B80" s="1" t="str">
        <f t="shared" si="3"/>
        <v>CR721S.IN0702</v>
      </c>
      <c r="C80" s="1" t="s">
        <v>94</v>
      </c>
      <c r="D80" s="1" t="s">
        <v>38</v>
      </c>
      <c r="E80" s="1">
        <v>61</v>
      </c>
      <c r="F80" s="1" t="s">
        <v>167</v>
      </c>
      <c r="G80" s="6" t="s">
        <v>168</v>
      </c>
      <c r="H80" s="2" t="str">
        <f t="shared" si="4"/>
        <v>a61</v>
      </c>
      <c r="I80" s="6" t="s">
        <v>168</v>
      </c>
    </row>
    <row r="81" spans="1:9" x14ac:dyDescent="0.2">
      <c r="A81" s="2">
        <v>16</v>
      </c>
      <c r="B81" s="1" t="str">
        <f t="shared" si="3"/>
        <v>CR721S.IN0703</v>
      </c>
      <c r="C81" s="1" t="s">
        <v>94</v>
      </c>
      <c r="D81" s="1" t="s">
        <v>39</v>
      </c>
      <c r="E81" s="1">
        <v>62</v>
      </c>
      <c r="F81" s="1" t="s">
        <v>167</v>
      </c>
      <c r="G81" s="6" t="s">
        <v>168</v>
      </c>
      <c r="H81" s="2" t="str">
        <f t="shared" si="4"/>
        <v>a62</v>
      </c>
      <c r="I81" s="6" t="s">
        <v>168</v>
      </c>
    </row>
    <row r="82" spans="1:9" x14ac:dyDescent="0.2">
      <c r="A82" s="2">
        <v>17</v>
      </c>
      <c r="B82" s="1" t="str">
        <f t="shared" si="3"/>
        <v>CR721S.IN0000</v>
      </c>
      <c r="C82" s="1" t="s">
        <v>94</v>
      </c>
      <c r="D82" s="1" t="s">
        <v>40</v>
      </c>
      <c r="E82" s="1">
        <v>25</v>
      </c>
      <c r="F82" s="1" t="s">
        <v>167</v>
      </c>
      <c r="G82" s="6" t="s">
        <v>169</v>
      </c>
      <c r="H82" s="2" t="str">
        <f t="shared" si="4"/>
        <v>a25</v>
      </c>
      <c r="I82" s="6" t="s">
        <v>169</v>
      </c>
    </row>
    <row r="83" spans="1:9" x14ac:dyDescent="0.2">
      <c r="A83" s="2">
        <v>18</v>
      </c>
      <c r="B83" s="1" t="str">
        <f t="shared" si="3"/>
        <v>CR721S.IN0001</v>
      </c>
      <c r="C83" s="1" t="s">
        <v>94</v>
      </c>
      <c r="D83" s="1" t="s">
        <v>42</v>
      </c>
      <c r="E83" s="1">
        <v>26</v>
      </c>
      <c r="F83" s="1" t="s">
        <v>167</v>
      </c>
      <c r="G83" s="6" t="s">
        <v>169</v>
      </c>
      <c r="H83" s="2" t="str">
        <f t="shared" si="4"/>
        <v>a26</v>
      </c>
      <c r="I83" s="6" t="s">
        <v>169</v>
      </c>
    </row>
    <row r="84" spans="1:9" x14ac:dyDescent="0.2">
      <c r="A84" s="2">
        <v>19</v>
      </c>
      <c r="B84" s="1" t="str">
        <f t="shared" si="3"/>
        <v>CR721S.IN0002</v>
      </c>
      <c r="C84" s="1" t="s">
        <v>94</v>
      </c>
      <c r="D84" s="1" t="s">
        <v>43</v>
      </c>
      <c r="E84" s="1">
        <v>27</v>
      </c>
      <c r="F84" s="1" t="s">
        <v>167</v>
      </c>
      <c r="G84" s="6" t="s">
        <v>169</v>
      </c>
      <c r="H84" s="2" t="str">
        <f t="shared" si="4"/>
        <v>a27</v>
      </c>
      <c r="I84" s="6" t="s">
        <v>169</v>
      </c>
    </row>
    <row r="85" spans="1:9" x14ac:dyDescent="0.2">
      <c r="A85" s="2">
        <v>20</v>
      </c>
      <c r="B85" s="1" t="str">
        <f t="shared" si="3"/>
        <v>CR721S.IN0003</v>
      </c>
      <c r="C85" s="1" t="s">
        <v>94</v>
      </c>
      <c r="D85" s="1" t="s">
        <v>44</v>
      </c>
      <c r="E85" s="1">
        <v>28</v>
      </c>
      <c r="F85" s="1" t="s">
        <v>167</v>
      </c>
      <c r="G85" s="6" t="s">
        <v>169</v>
      </c>
      <c r="H85" s="2" t="str">
        <f t="shared" si="4"/>
        <v>a28</v>
      </c>
      <c r="I85" s="6" t="s">
        <v>169</v>
      </c>
    </row>
    <row r="86" spans="1:9" x14ac:dyDescent="0.2">
      <c r="A86" s="2">
        <v>21</v>
      </c>
      <c r="B86" s="1" t="str">
        <f t="shared" si="3"/>
        <v>CR721S.IN0500</v>
      </c>
      <c r="C86" s="1" t="s">
        <v>94</v>
      </c>
      <c r="D86" s="1" t="s">
        <v>45</v>
      </c>
      <c r="E86" s="1">
        <v>40</v>
      </c>
      <c r="F86" s="1" t="s">
        <v>167</v>
      </c>
      <c r="G86" s="6" t="s">
        <v>169</v>
      </c>
      <c r="H86" s="2" t="str">
        <f t="shared" si="4"/>
        <v>a40</v>
      </c>
      <c r="I86" s="6" t="s">
        <v>169</v>
      </c>
    </row>
    <row r="87" spans="1:9" x14ac:dyDescent="0.2">
      <c r="A87" s="2">
        <v>22</v>
      </c>
      <c r="B87" s="1" t="str">
        <f t="shared" si="3"/>
        <v>CR721S.IN0501</v>
      </c>
      <c r="C87" s="1" t="s">
        <v>94</v>
      </c>
      <c r="D87" s="1" t="s">
        <v>46</v>
      </c>
      <c r="E87" s="1">
        <v>41</v>
      </c>
      <c r="F87" s="1" t="s">
        <v>167</v>
      </c>
      <c r="G87" s="6" t="s">
        <v>169</v>
      </c>
      <c r="H87" s="2" t="str">
        <f t="shared" si="4"/>
        <v>a41</v>
      </c>
      <c r="I87" s="6" t="s">
        <v>169</v>
      </c>
    </row>
    <row r="88" spans="1:9" x14ac:dyDescent="0.2">
      <c r="A88" s="2">
        <v>23</v>
      </c>
      <c r="B88" s="1" t="str">
        <f t="shared" si="3"/>
        <v>CR721S.IN0502</v>
      </c>
      <c r="C88" s="1" t="s">
        <v>94</v>
      </c>
      <c r="D88" s="1" t="s">
        <v>47</v>
      </c>
      <c r="E88" s="1">
        <v>42</v>
      </c>
      <c r="F88" s="1" t="s">
        <v>167</v>
      </c>
      <c r="G88" s="6" t="s">
        <v>169</v>
      </c>
      <c r="H88" s="2" t="str">
        <f t="shared" si="4"/>
        <v>a42</v>
      </c>
      <c r="I88" s="6" t="s">
        <v>169</v>
      </c>
    </row>
    <row r="89" spans="1:9" x14ac:dyDescent="0.2">
      <c r="A89" s="2">
        <v>24</v>
      </c>
      <c r="B89" s="1" t="str">
        <f t="shared" si="3"/>
        <v>CR721S.IN0503</v>
      </c>
      <c r="C89" s="1" t="s">
        <v>94</v>
      </c>
      <c r="D89" s="1" t="s">
        <v>48</v>
      </c>
      <c r="E89" s="1">
        <v>43</v>
      </c>
      <c r="F89" s="1" t="s">
        <v>167</v>
      </c>
      <c r="G89" s="6" t="s">
        <v>169</v>
      </c>
      <c r="H89" s="2" t="str">
        <f t="shared" si="4"/>
        <v>a43</v>
      </c>
      <c r="I89" s="6" t="s">
        <v>169</v>
      </c>
    </row>
    <row r="90" spans="1:9" x14ac:dyDescent="0.2">
      <c r="A90" s="2">
        <v>25</v>
      </c>
      <c r="B90" s="1" t="str">
        <f t="shared" si="3"/>
        <v>CR721S.IN0400</v>
      </c>
      <c r="C90" s="1" t="s">
        <v>94</v>
      </c>
      <c r="D90" s="1" t="s">
        <v>49</v>
      </c>
      <c r="E90" s="1">
        <v>46</v>
      </c>
      <c r="F90" s="1" t="s">
        <v>167</v>
      </c>
      <c r="G90" s="8" t="s">
        <v>170</v>
      </c>
      <c r="H90" s="2" t="str">
        <f t="shared" si="4"/>
        <v>a46</v>
      </c>
      <c r="I90" s="8" t="s">
        <v>170</v>
      </c>
    </row>
    <row r="91" spans="1:9" x14ac:dyDescent="0.2">
      <c r="A91" s="2">
        <v>26</v>
      </c>
      <c r="B91" s="1" t="str">
        <f t="shared" si="3"/>
        <v>CR721S.IN0401</v>
      </c>
      <c r="C91" s="1" t="s">
        <v>94</v>
      </c>
      <c r="D91" s="1" t="s">
        <v>50</v>
      </c>
      <c r="E91" s="1">
        <v>47</v>
      </c>
      <c r="F91" s="1" t="s">
        <v>167</v>
      </c>
      <c r="G91" s="8" t="s">
        <v>170</v>
      </c>
      <c r="H91" s="2" t="str">
        <f t="shared" si="4"/>
        <v>a47</v>
      </c>
      <c r="I91" s="8" t="s">
        <v>170</v>
      </c>
    </row>
    <row r="92" spans="1:9" x14ac:dyDescent="0.2">
      <c r="A92" s="2">
        <v>27</v>
      </c>
      <c r="B92" s="1" t="str">
        <f t="shared" si="3"/>
        <v>CR721S.IN0900</v>
      </c>
      <c r="C92" s="1" t="s">
        <v>94</v>
      </c>
      <c r="D92" s="1" t="s">
        <v>51</v>
      </c>
      <c r="E92" s="1">
        <v>38</v>
      </c>
      <c r="F92" s="1" t="s">
        <v>167</v>
      </c>
      <c r="G92" s="8" t="s">
        <v>170</v>
      </c>
      <c r="H92" s="2" t="str">
        <f t="shared" si="4"/>
        <v>a38</v>
      </c>
      <c r="I92" s="8" t="s">
        <v>170</v>
      </c>
    </row>
    <row r="93" spans="1:9" x14ac:dyDescent="0.2">
      <c r="A93" s="2">
        <v>28</v>
      </c>
      <c r="B93" s="1" t="str">
        <f t="shared" si="3"/>
        <v>CR721S.IN0901</v>
      </c>
      <c r="C93" s="1" t="s">
        <v>94</v>
      </c>
      <c r="D93" s="1" t="s">
        <v>52</v>
      </c>
      <c r="E93" s="1">
        <v>39</v>
      </c>
      <c r="F93" s="1" t="s">
        <v>167</v>
      </c>
      <c r="G93" s="8" t="s">
        <v>170</v>
      </c>
      <c r="H93" s="2" t="str">
        <f t="shared" si="4"/>
        <v>a39</v>
      </c>
      <c r="I93" s="8" t="s">
        <v>170</v>
      </c>
    </row>
    <row r="94" spans="1:9" x14ac:dyDescent="0.2">
      <c r="A94" s="2">
        <v>29</v>
      </c>
      <c r="B94" s="1" t="str">
        <f t="shared" si="3"/>
        <v>CR721S.IN0300</v>
      </c>
      <c r="C94" s="1" t="s">
        <v>94</v>
      </c>
      <c r="D94" s="1" t="s">
        <v>53</v>
      </c>
      <c r="E94" s="1">
        <v>44</v>
      </c>
      <c r="F94" s="1" t="s">
        <v>167</v>
      </c>
      <c r="G94" s="8" t="s">
        <v>171</v>
      </c>
      <c r="H94" s="2" t="str">
        <f t="shared" si="4"/>
        <v>a44</v>
      </c>
      <c r="I94" s="8" t="s">
        <v>171</v>
      </c>
    </row>
    <row r="95" spans="1:9" x14ac:dyDescent="0.2">
      <c r="A95" s="2">
        <v>30</v>
      </c>
      <c r="B95" s="1" t="str">
        <f t="shared" si="3"/>
        <v>CR721S.IN0301</v>
      </c>
      <c r="C95" s="1" t="s">
        <v>94</v>
      </c>
      <c r="D95" s="1" t="s">
        <v>54</v>
      </c>
      <c r="E95" s="1">
        <v>45</v>
      </c>
      <c r="F95" s="1" t="s">
        <v>167</v>
      </c>
      <c r="G95" s="8" t="s">
        <v>171</v>
      </c>
      <c r="H95" s="2" t="str">
        <f t="shared" si="4"/>
        <v>a45</v>
      </c>
      <c r="I95" s="8" t="s">
        <v>171</v>
      </c>
    </row>
    <row r="96" spans="1:9" x14ac:dyDescent="0.2">
      <c r="A96" s="2">
        <v>31</v>
      </c>
      <c r="B96" s="1" t="str">
        <f t="shared" si="3"/>
        <v>CR721S.IN0800</v>
      </c>
      <c r="C96" s="1" t="s">
        <v>94</v>
      </c>
      <c r="D96" s="1" t="s">
        <v>55</v>
      </c>
      <c r="E96" s="1">
        <v>36</v>
      </c>
      <c r="F96" s="1" t="s">
        <v>167</v>
      </c>
      <c r="G96" s="8" t="s">
        <v>171</v>
      </c>
      <c r="H96" s="2" t="str">
        <f t="shared" si="4"/>
        <v>a36</v>
      </c>
      <c r="I96" s="8" t="s">
        <v>171</v>
      </c>
    </row>
    <row r="97" spans="1:14" x14ac:dyDescent="0.2">
      <c r="A97" s="2">
        <v>32</v>
      </c>
      <c r="B97" s="1" t="str">
        <f t="shared" si="3"/>
        <v>CR721S.IN0801</v>
      </c>
      <c r="C97" s="1" t="s">
        <v>94</v>
      </c>
      <c r="D97" s="1" t="s">
        <v>56</v>
      </c>
      <c r="E97" s="1">
        <v>37</v>
      </c>
      <c r="F97" s="1" t="s">
        <v>167</v>
      </c>
      <c r="G97" s="8" t="s">
        <v>171</v>
      </c>
      <c r="H97" s="2" t="str">
        <f t="shared" si="4"/>
        <v>a37</v>
      </c>
      <c r="I97" s="8" t="s">
        <v>171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94</v>
      </c>
      <c r="D98" s="1" t="s">
        <v>57</v>
      </c>
      <c r="E98" s="1">
        <v>16</v>
      </c>
      <c r="F98" s="1" t="s">
        <v>167</v>
      </c>
      <c r="G98" s="8" t="s">
        <v>172</v>
      </c>
      <c r="H98" s="2" t="str">
        <f t="shared" si="4"/>
        <v>a16</v>
      </c>
      <c r="I98" s="8" t="s">
        <v>173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94</v>
      </c>
      <c r="D99" s="1" t="s">
        <v>59</v>
      </c>
      <c r="E99" s="1">
        <v>17</v>
      </c>
      <c r="F99" s="1" t="s">
        <v>167</v>
      </c>
      <c r="G99" s="8" t="s">
        <v>174</v>
      </c>
      <c r="H99" s="2" t="str">
        <f t="shared" si="4"/>
        <v>a17</v>
      </c>
      <c r="I99" s="8" t="s">
        <v>173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94</v>
      </c>
      <c r="D100" s="1" t="s">
        <v>60</v>
      </c>
      <c r="E100" s="1">
        <v>18</v>
      </c>
      <c r="F100" s="1" t="s">
        <v>167</v>
      </c>
      <c r="G100" s="8" t="s">
        <v>172</v>
      </c>
      <c r="H100" s="2" t="str">
        <f t="shared" si="4"/>
        <v>a18</v>
      </c>
      <c r="I100" s="8" t="s">
        <v>173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94</v>
      </c>
      <c r="D101" s="1" t="s">
        <v>61</v>
      </c>
      <c r="E101" s="1">
        <v>19</v>
      </c>
      <c r="F101" s="1" t="s">
        <v>167</v>
      </c>
      <c r="G101" s="8" t="s">
        <v>174</v>
      </c>
      <c r="H101" s="2" t="str">
        <f t="shared" si="4"/>
        <v>a19</v>
      </c>
      <c r="I101" s="8" t="s">
        <v>173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94</v>
      </c>
      <c r="D102" s="1" t="s">
        <v>62</v>
      </c>
      <c r="E102" s="1">
        <v>20</v>
      </c>
      <c r="F102" s="1" t="s">
        <v>167</v>
      </c>
      <c r="G102" s="8" t="s">
        <v>172</v>
      </c>
      <c r="H102" s="2" t="str">
        <f t="shared" si="4"/>
        <v>a20</v>
      </c>
      <c r="I102" s="8" t="s">
        <v>173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94</v>
      </c>
      <c r="D103" s="1" t="s">
        <v>63</v>
      </c>
      <c r="E103" s="1">
        <v>21</v>
      </c>
      <c r="F103" s="1" t="s">
        <v>167</v>
      </c>
      <c r="G103" s="8" t="s">
        <v>174</v>
      </c>
      <c r="H103" s="2" t="str">
        <f t="shared" si="4"/>
        <v>a21</v>
      </c>
      <c r="I103" s="8" t="s">
        <v>173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94</v>
      </c>
      <c r="D104" s="1" t="s">
        <v>64</v>
      </c>
      <c r="E104" s="1">
        <v>22</v>
      </c>
      <c r="F104" s="1" t="s">
        <v>167</v>
      </c>
      <c r="G104" s="8" t="s">
        <v>175</v>
      </c>
      <c r="H104" s="2" t="str">
        <f t="shared" si="4"/>
        <v>a22</v>
      </c>
      <c r="I104" s="8" t="s">
        <v>176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94</v>
      </c>
      <c r="D105" s="1" t="s">
        <v>65</v>
      </c>
      <c r="E105" s="1">
        <v>23</v>
      </c>
      <c r="F105" s="1" t="s">
        <v>167</v>
      </c>
      <c r="G105" s="8" t="s">
        <v>175</v>
      </c>
      <c r="H105" s="2" t="str">
        <f t="shared" si="4"/>
        <v>a23</v>
      </c>
      <c r="I105" s="8" t="s">
        <v>176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94</v>
      </c>
      <c r="D106" s="1" t="s">
        <v>66</v>
      </c>
      <c r="E106" s="1">
        <v>24</v>
      </c>
      <c r="F106" s="1" t="s">
        <v>167</v>
      </c>
      <c r="G106" s="8" t="s">
        <v>177</v>
      </c>
      <c r="H106" s="2" t="str">
        <f t="shared" si="4"/>
        <v>a24</v>
      </c>
      <c r="I106" s="8" t="s">
        <v>176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94</v>
      </c>
      <c r="D107" s="1" t="s">
        <v>70</v>
      </c>
      <c r="E107" s="1">
        <v>6</v>
      </c>
      <c r="F107" s="1" t="s">
        <v>167</v>
      </c>
      <c r="G107" s="8" t="s">
        <v>172</v>
      </c>
      <c r="H107" s="2" t="str">
        <f t="shared" si="4"/>
        <v>a6</v>
      </c>
      <c r="I107" s="8" t="s">
        <v>173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94</v>
      </c>
      <c r="D108" s="1" t="s">
        <v>71</v>
      </c>
      <c r="E108" s="1">
        <v>7</v>
      </c>
      <c r="F108" s="1" t="s">
        <v>167</v>
      </c>
      <c r="G108" s="8" t="s">
        <v>174</v>
      </c>
      <c r="H108" s="2" t="str">
        <f t="shared" si="4"/>
        <v>a7</v>
      </c>
      <c r="I108" s="8" t="s">
        <v>173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94</v>
      </c>
      <c r="D109" s="1" t="s">
        <v>72</v>
      </c>
      <c r="E109" s="1">
        <v>8</v>
      </c>
      <c r="F109" s="1" t="s">
        <v>167</v>
      </c>
      <c r="G109" s="8" t="s">
        <v>172</v>
      </c>
      <c r="H109" s="2" t="str">
        <f t="shared" si="4"/>
        <v>a8</v>
      </c>
      <c r="I109" s="8" t="s">
        <v>173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94</v>
      </c>
      <c r="D110" s="1" t="s">
        <v>73</v>
      </c>
      <c r="E110" s="1">
        <v>9</v>
      </c>
      <c r="F110" s="1" t="s">
        <v>167</v>
      </c>
      <c r="G110" s="8" t="s">
        <v>174</v>
      </c>
      <c r="H110" s="2" t="str">
        <f t="shared" si="4"/>
        <v>a9</v>
      </c>
      <c r="I110" s="8" t="s">
        <v>173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94</v>
      </c>
      <c r="D111" s="1" t="s">
        <v>74</v>
      </c>
      <c r="E111" s="1">
        <v>10</v>
      </c>
      <c r="F111" s="1" t="s">
        <v>167</v>
      </c>
      <c r="G111" s="8" t="s">
        <v>172</v>
      </c>
      <c r="H111" s="2" t="str">
        <f t="shared" si="4"/>
        <v>a10</v>
      </c>
      <c r="I111" s="8" t="s">
        <v>173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94</v>
      </c>
      <c r="D112" s="1" t="s">
        <v>75</v>
      </c>
      <c r="E112" s="1">
        <v>11</v>
      </c>
      <c r="F112" s="1" t="s">
        <v>167</v>
      </c>
      <c r="G112" s="8" t="s">
        <v>174</v>
      </c>
      <c r="H112" s="2" t="str">
        <f t="shared" si="4"/>
        <v>a11</v>
      </c>
      <c r="I112" s="8" t="s">
        <v>173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94</v>
      </c>
      <c r="D113" s="1" t="s">
        <v>76</v>
      </c>
      <c r="E113" s="1">
        <v>12</v>
      </c>
      <c r="F113" s="1" t="s">
        <v>167</v>
      </c>
      <c r="G113" s="8" t="s">
        <v>175</v>
      </c>
      <c r="H113" s="2" t="str">
        <f t="shared" si="4"/>
        <v>a12</v>
      </c>
      <c r="I113" s="8" t="s">
        <v>176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94</v>
      </c>
      <c r="D114" s="1" t="s">
        <v>77</v>
      </c>
      <c r="E114" s="1">
        <v>13</v>
      </c>
      <c r="F114" s="1" t="s">
        <v>167</v>
      </c>
      <c r="G114" s="8" t="s">
        <v>175</v>
      </c>
      <c r="H114" s="2" t="str">
        <f t="shared" si="4"/>
        <v>a13</v>
      </c>
      <c r="I114" s="8" t="s">
        <v>176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94</v>
      </c>
      <c r="D115" s="1" t="s">
        <v>78</v>
      </c>
      <c r="E115" s="1">
        <v>14</v>
      </c>
      <c r="F115" s="1" t="s">
        <v>167</v>
      </c>
      <c r="G115" s="8" t="s">
        <v>177</v>
      </c>
      <c r="H115" s="2" t="str">
        <f t="shared" si="4"/>
        <v>a14</v>
      </c>
      <c r="I115" s="8" t="s">
        <v>176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94</v>
      </c>
      <c r="D116" s="1" t="s">
        <v>80</v>
      </c>
      <c r="E116" s="1">
        <v>73</v>
      </c>
      <c r="F116" s="1" t="s">
        <v>167</v>
      </c>
      <c r="G116" s="8" t="s">
        <v>172</v>
      </c>
      <c r="H116" s="2" t="str">
        <f t="shared" si="4"/>
        <v>a73</v>
      </c>
      <c r="I116" s="8" t="s">
        <v>173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94</v>
      </c>
      <c r="D117" s="1" t="s">
        <v>81</v>
      </c>
      <c r="E117" s="1">
        <v>74</v>
      </c>
      <c r="F117" s="1" t="s">
        <v>167</v>
      </c>
      <c r="G117" s="8" t="s">
        <v>174</v>
      </c>
      <c r="H117" s="2" t="str">
        <f t="shared" si="4"/>
        <v>a74</v>
      </c>
      <c r="I117" s="8" t="s">
        <v>173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94</v>
      </c>
      <c r="D118" s="1" t="s">
        <v>82</v>
      </c>
      <c r="E118" s="1">
        <v>75</v>
      </c>
      <c r="F118" s="1" t="s">
        <v>167</v>
      </c>
      <c r="G118" s="8" t="s">
        <v>172</v>
      </c>
      <c r="H118" s="2" t="str">
        <f t="shared" si="4"/>
        <v>a75</v>
      </c>
      <c r="I118" s="8" t="s">
        <v>173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94</v>
      </c>
      <c r="D119" s="1" t="s">
        <v>83</v>
      </c>
      <c r="E119" s="1">
        <v>76</v>
      </c>
      <c r="F119" s="1" t="s">
        <v>167</v>
      </c>
      <c r="G119" s="8" t="s">
        <v>174</v>
      </c>
      <c r="H119" s="2" t="str">
        <f t="shared" si="4"/>
        <v>a76</v>
      </c>
      <c r="I119" s="8" t="s">
        <v>173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94</v>
      </c>
      <c r="D120" s="1" t="s">
        <v>84</v>
      </c>
      <c r="E120" s="1">
        <v>77</v>
      </c>
      <c r="F120" s="1" t="s">
        <v>167</v>
      </c>
      <c r="G120" s="8" t="s">
        <v>172</v>
      </c>
      <c r="H120" s="2" t="str">
        <f t="shared" si="4"/>
        <v>a77</v>
      </c>
      <c r="I120" s="8" t="s">
        <v>173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94</v>
      </c>
      <c r="D121" s="1" t="s">
        <v>85</v>
      </c>
      <c r="E121" s="1">
        <v>78</v>
      </c>
      <c r="F121" s="1" t="s">
        <v>167</v>
      </c>
      <c r="G121" s="8" t="s">
        <v>174</v>
      </c>
      <c r="H121" s="2" t="str">
        <f t="shared" si="4"/>
        <v>a78</v>
      </c>
      <c r="I121" s="8" t="s">
        <v>173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94</v>
      </c>
      <c r="D122" s="1" t="s">
        <v>86</v>
      </c>
      <c r="E122" s="1">
        <v>79</v>
      </c>
      <c r="F122" s="1" t="s">
        <v>167</v>
      </c>
      <c r="G122" s="8" t="s">
        <v>175</v>
      </c>
      <c r="H122" s="2" t="str">
        <f t="shared" si="4"/>
        <v>a79</v>
      </c>
      <c r="I122" s="8" t="s">
        <v>176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94</v>
      </c>
      <c r="D123" s="1" t="s">
        <v>87</v>
      </c>
      <c r="E123" s="1">
        <v>80</v>
      </c>
      <c r="F123" s="1" t="s">
        <v>167</v>
      </c>
      <c r="G123" s="8" t="s">
        <v>175</v>
      </c>
      <c r="H123" s="2" t="str">
        <f t="shared" si="4"/>
        <v>a80</v>
      </c>
      <c r="I123" s="8" t="s">
        <v>176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94</v>
      </c>
      <c r="D124" s="1" t="s">
        <v>88</v>
      </c>
      <c r="E124" s="1">
        <v>81</v>
      </c>
      <c r="F124" s="1" t="s">
        <v>167</v>
      </c>
      <c r="G124" s="8" t="s">
        <v>177</v>
      </c>
      <c r="H124" s="2" t="str">
        <f t="shared" si="4"/>
        <v>a81</v>
      </c>
      <c r="I124" s="8" t="s">
        <v>176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94</v>
      </c>
      <c r="D125" s="1" t="s">
        <v>90</v>
      </c>
      <c r="E125" s="1">
        <v>31</v>
      </c>
      <c r="F125" s="1" t="s">
        <v>167</v>
      </c>
      <c r="G125" s="8" t="s">
        <v>178</v>
      </c>
      <c r="H125" s="2" t="str">
        <f t="shared" si="4"/>
        <v>a31</v>
      </c>
      <c r="I125" s="8" t="s">
        <v>179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94</v>
      </c>
      <c r="D126" s="1" t="s">
        <v>92</v>
      </c>
      <c r="E126" s="1">
        <v>32</v>
      </c>
      <c r="F126" s="1" t="s">
        <v>167</v>
      </c>
      <c r="G126" s="8" t="s">
        <v>180</v>
      </c>
      <c r="H126" s="2" t="str">
        <f t="shared" si="4"/>
        <v>a32</v>
      </c>
      <c r="I126" s="8" t="s">
        <v>181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94</v>
      </c>
      <c r="D127" s="1" t="s">
        <v>95</v>
      </c>
      <c r="E127" s="1">
        <v>6</v>
      </c>
      <c r="F127" s="1" t="s">
        <v>188</v>
      </c>
      <c r="G127" s="8" t="s">
        <v>168</v>
      </c>
      <c r="H127" s="2" t="str">
        <f t="shared" si="4"/>
        <v>b6</v>
      </c>
      <c r="I127" s="8" t="s">
        <v>168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94</v>
      </c>
      <c r="D128" s="1" t="s">
        <v>96</v>
      </c>
      <c r="E128" s="1">
        <v>7</v>
      </c>
      <c r="F128" s="1" t="s">
        <v>188</v>
      </c>
      <c r="G128" s="8" t="s">
        <v>168</v>
      </c>
      <c r="H128" s="2" t="str">
        <f t="shared" si="4"/>
        <v>b7</v>
      </c>
      <c r="I128" s="8" t="s">
        <v>168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94</v>
      </c>
      <c r="D129" s="1" t="s">
        <v>97</v>
      </c>
      <c r="E129" s="1">
        <v>8</v>
      </c>
      <c r="F129" s="1" t="s">
        <v>188</v>
      </c>
      <c r="G129" s="8" t="s">
        <v>168</v>
      </c>
      <c r="H129" s="2" t="str">
        <f t="shared" si="4"/>
        <v>b8</v>
      </c>
      <c r="I129" s="8" t="s">
        <v>168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94</v>
      </c>
      <c r="D130" s="1" t="s">
        <v>98</v>
      </c>
      <c r="E130" s="1">
        <v>9</v>
      </c>
      <c r="F130" s="1" t="s">
        <v>188</v>
      </c>
      <c r="G130" s="8" t="s">
        <v>168</v>
      </c>
      <c r="H130" s="2" t="str">
        <f t="shared" si="4"/>
        <v>b9</v>
      </c>
      <c r="I130" s="8" t="s">
        <v>168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94</v>
      </c>
      <c r="D131" s="1" t="s">
        <v>99</v>
      </c>
      <c r="E131" s="1">
        <v>36</v>
      </c>
      <c r="F131" s="1" t="s">
        <v>188</v>
      </c>
      <c r="G131" s="8" t="s">
        <v>168</v>
      </c>
      <c r="H131" s="2" t="str">
        <f t="shared" ref="H131:H194" si="7">_xlfn.CONCAT(LOWER(F131),E131)</f>
        <v>b36</v>
      </c>
      <c r="I131" s="8" t="s">
        <v>168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94</v>
      </c>
      <c r="D132" s="1" t="s">
        <v>100</v>
      </c>
      <c r="E132" s="1">
        <v>37</v>
      </c>
      <c r="F132" s="1" t="s">
        <v>188</v>
      </c>
      <c r="G132" s="8" t="s">
        <v>168</v>
      </c>
      <c r="H132" s="2" t="str">
        <f t="shared" si="7"/>
        <v>b37</v>
      </c>
      <c r="I132" s="8" t="s">
        <v>168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94</v>
      </c>
      <c r="D133" s="1" t="s">
        <v>101</v>
      </c>
      <c r="E133" s="1">
        <v>38</v>
      </c>
      <c r="F133" s="1" t="s">
        <v>188</v>
      </c>
      <c r="G133" s="8" t="s">
        <v>168</v>
      </c>
      <c r="H133" s="2" t="str">
        <f t="shared" si="7"/>
        <v>b38</v>
      </c>
      <c r="I133" s="8" t="s">
        <v>168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94</v>
      </c>
      <c r="D134" s="1" t="s">
        <v>102</v>
      </c>
      <c r="E134" s="1">
        <v>39</v>
      </c>
      <c r="F134" s="1" t="s">
        <v>188</v>
      </c>
      <c r="G134" s="8" t="s">
        <v>168</v>
      </c>
      <c r="H134" s="2" t="str">
        <f t="shared" si="7"/>
        <v>b39</v>
      </c>
      <c r="I134" s="8" t="s">
        <v>168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94</v>
      </c>
      <c r="D135" s="1" t="s">
        <v>103</v>
      </c>
      <c r="E135" s="1">
        <v>44</v>
      </c>
      <c r="F135" s="1" t="s">
        <v>188</v>
      </c>
      <c r="G135" s="8" t="s">
        <v>169</v>
      </c>
      <c r="H135" s="2" t="str">
        <f t="shared" si="7"/>
        <v>b44</v>
      </c>
      <c r="I135" s="8" t="s">
        <v>169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94</v>
      </c>
      <c r="D136" s="1" t="s">
        <v>104</v>
      </c>
      <c r="E136" s="1">
        <v>45</v>
      </c>
      <c r="F136" s="1" t="s">
        <v>188</v>
      </c>
      <c r="G136" s="8" t="s">
        <v>169</v>
      </c>
      <c r="H136" s="2" t="str">
        <f t="shared" si="7"/>
        <v>b45</v>
      </c>
      <c r="I136" s="8" t="s">
        <v>169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94</v>
      </c>
      <c r="D137" s="1" t="s">
        <v>105</v>
      </c>
      <c r="E137" s="1">
        <v>46</v>
      </c>
      <c r="F137" s="1" t="s">
        <v>188</v>
      </c>
      <c r="G137" s="8" t="s">
        <v>169</v>
      </c>
      <c r="H137" s="2" t="str">
        <f t="shared" si="7"/>
        <v>b46</v>
      </c>
      <c r="I137" s="8" t="s">
        <v>169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94</v>
      </c>
      <c r="D138" s="1" t="s">
        <v>106</v>
      </c>
      <c r="E138" s="1">
        <v>47</v>
      </c>
      <c r="F138" s="1" t="s">
        <v>188</v>
      </c>
      <c r="G138" s="8" t="s">
        <v>169</v>
      </c>
      <c r="H138" s="2" t="str">
        <f t="shared" si="7"/>
        <v>b47</v>
      </c>
      <c r="I138" s="8" t="s">
        <v>169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94</v>
      </c>
      <c r="D139" s="1" t="s">
        <v>107</v>
      </c>
      <c r="E139" s="1">
        <v>59</v>
      </c>
      <c r="F139" s="1" t="s">
        <v>188</v>
      </c>
      <c r="G139" s="8" t="s">
        <v>169</v>
      </c>
      <c r="H139" s="2" t="str">
        <f t="shared" si="7"/>
        <v>b59</v>
      </c>
      <c r="I139" s="8" t="s">
        <v>169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94</v>
      </c>
      <c r="D140" s="1" t="s">
        <v>108</v>
      </c>
      <c r="E140" s="1">
        <v>60</v>
      </c>
      <c r="F140" s="1" t="s">
        <v>188</v>
      </c>
      <c r="G140" s="8" t="s">
        <v>169</v>
      </c>
      <c r="H140" s="2" t="str">
        <f t="shared" si="7"/>
        <v>b60</v>
      </c>
      <c r="I140" s="8" t="s">
        <v>169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94</v>
      </c>
      <c r="D141" s="1" t="s">
        <v>109</v>
      </c>
      <c r="E141" s="1">
        <v>61</v>
      </c>
      <c r="F141" s="1" t="s">
        <v>188</v>
      </c>
      <c r="G141" s="8" t="s">
        <v>169</v>
      </c>
      <c r="H141" s="2" t="str">
        <f t="shared" si="7"/>
        <v>b61</v>
      </c>
      <c r="I141" s="8" t="s">
        <v>169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94</v>
      </c>
      <c r="D142" s="1" t="s">
        <v>110</v>
      </c>
      <c r="E142" s="1">
        <v>62</v>
      </c>
      <c r="F142" s="1" t="s">
        <v>188</v>
      </c>
      <c r="G142" s="8" t="s">
        <v>169</v>
      </c>
      <c r="H142" s="2" t="str">
        <f t="shared" si="7"/>
        <v>b62</v>
      </c>
      <c r="I142" s="8" t="s">
        <v>169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94</v>
      </c>
      <c r="D143" s="1" t="s">
        <v>111</v>
      </c>
      <c r="E143" s="1">
        <v>10</v>
      </c>
      <c r="F143" s="1" t="s">
        <v>188</v>
      </c>
      <c r="G143" s="8" t="s">
        <v>189</v>
      </c>
      <c r="H143" s="2" t="str">
        <f t="shared" si="7"/>
        <v>b10</v>
      </c>
      <c r="I143" s="8" t="s">
        <v>189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94</v>
      </c>
      <c r="D144" s="1" t="s">
        <v>112</v>
      </c>
      <c r="E144" s="1">
        <v>11</v>
      </c>
      <c r="F144" s="1" t="s">
        <v>188</v>
      </c>
      <c r="G144" s="8" t="s">
        <v>189</v>
      </c>
      <c r="H144" s="2" t="str">
        <f t="shared" si="7"/>
        <v>b11</v>
      </c>
      <c r="I144" s="8" t="s">
        <v>189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94</v>
      </c>
      <c r="D145" s="1" t="s">
        <v>113</v>
      </c>
      <c r="E145" s="1">
        <v>12</v>
      </c>
      <c r="F145" s="1" t="s">
        <v>188</v>
      </c>
      <c r="G145" s="8" t="s">
        <v>189</v>
      </c>
      <c r="H145" s="2" t="str">
        <f t="shared" si="7"/>
        <v>b12</v>
      </c>
      <c r="I145" s="8" t="s">
        <v>189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94</v>
      </c>
      <c r="D146" s="1" t="s">
        <v>114</v>
      </c>
      <c r="E146" s="1">
        <v>13</v>
      </c>
      <c r="F146" s="1" t="s">
        <v>188</v>
      </c>
      <c r="G146" s="8" t="s">
        <v>189</v>
      </c>
      <c r="H146" s="2" t="str">
        <f t="shared" si="7"/>
        <v>b13</v>
      </c>
      <c r="I146" s="8" t="s">
        <v>189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94</v>
      </c>
      <c r="D147" s="1" t="s">
        <v>115</v>
      </c>
      <c r="E147" s="1">
        <v>29</v>
      </c>
      <c r="F147" s="1" t="s">
        <v>188</v>
      </c>
      <c r="G147" s="8" t="s">
        <v>189</v>
      </c>
      <c r="H147" s="2" t="str">
        <f t="shared" si="7"/>
        <v>b29</v>
      </c>
      <c r="I147" s="8" t="s">
        <v>189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94</v>
      </c>
      <c r="D148" s="1" t="s">
        <v>116</v>
      </c>
      <c r="E148" s="1">
        <v>30</v>
      </c>
      <c r="F148" s="1" t="s">
        <v>188</v>
      </c>
      <c r="G148" s="8" t="s">
        <v>189</v>
      </c>
      <c r="H148" s="2" t="str">
        <f t="shared" si="7"/>
        <v>b30</v>
      </c>
      <c r="I148" s="8" t="s">
        <v>189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94</v>
      </c>
      <c r="D149" s="1" t="s">
        <v>117</v>
      </c>
      <c r="E149" s="1">
        <v>31</v>
      </c>
      <c r="F149" s="1" t="s">
        <v>188</v>
      </c>
      <c r="G149" s="8" t="s">
        <v>189</v>
      </c>
      <c r="H149" s="2" t="str">
        <f t="shared" si="7"/>
        <v>b31</v>
      </c>
      <c r="I149" s="8" t="s">
        <v>189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94</v>
      </c>
      <c r="D150" s="1" t="s">
        <v>118</v>
      </c>
      <c r="E150" s="1">
        <v>32</v>
      </c>
      <c r="F150" s="1" t="s">
        <v>188</v>
      </c>
      <c r="G150" s="8" t="s">
        <v>189</v>
      </c>
      <c r="H150" s="2" t="str">
        <f t="shared" si="7"/>
        <v>b32</v>
      </c>
      <c r="I150" s="8" t="s">
        <v>189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94</v>
      </c>
      <c r="D151" s="1" t="s">
        <v>119</v>
      </c>
      <c r="E151" s="1">
        <v>40</v>
      </c>
      <c r="F151" s="1" t="s">
        <v>188</v>
      </c>
      <c r="G151" s="8" t="s">
        <v>189</v>
      </c>
      <c r="H151" s="2" t="str">
        <f t="shared" si="7"/>
        <v>b40</v>
      </c>
      <c r="I151" s="8" t="s">
        <v>189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94</v>
      </c>
      <c r="D152" s="1" t="s">
        <v>120</v>
      </c>
      <c r="E152" s="1">
        <v>41</v>
      </c>
      <c r="F152" s="1" t="s">
        <v>188</v>
      </c>
      <c r="G152" s="8" t="s">
        <v>189</v>
      </c>
      <c r="H152" s="2" t="str">
        <f t="shared" si="7"/>
        <v>b41</v>
      </c>
      <c r="I152" s="8" t="s">
        <v>189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94</v>
      </c>
      <c r="D153" s="1" t="s">
        <v>121</v>
      </c>
      <c r="E153" s="1">
        <v>42</v>
      </c>
      <c r="F153" s="1" t="s">
        <v>188</v>
      </c>
      <c r="G153" s="8" t="s">
        <v>189</v>
      </c>
      <c r="H153" s="2" t="str">
        <f t="shared" si="7"/>
        <v>b42</v>
      </c>
      <c r="I153" s="8" t="s">
        <v>189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94</v>
      </c>
      <c r="D154" s="1" t="s">
        <v>122</v>
      </c>
      <c r="E154" s="1">
        <v>43</v>
      </c>
      <c r="F154" s="1" t="s">
        <v>188</v>
      </c>
      <c r="G154" s="8" t="s">
        <v>189</v>
      </c>
      <c r="H154" s="2" t="str">
        <f t="shared" si="7"/>
        <v>b43</v>
      </c>
      <c r="I154" s="8" t="s">
        <v>189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94</v>
      </c>
      <c r="D155" s="1" t="s">
        <v>123</v>
      </c>
      <c r="E155" s="1">
        <v>55</v>
      </c>
      <c r="F155" s="1" t="s">
        <v>188</v>
      </c>
      <c r="G155" s="8" t="s">
        <v>189</v>
      </c>
      <c r="H155" s="2" t="str">
        <f t="shared" si="7"/>
        <v>b55</v>
      </c>
      <c r="I155" s="8" t="s">
        <v>189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94</v>
      </c>
      <c r="D156" s="1" t="s">
        <v>124</v>
      </c>
      <c r="E156" s="1">
        <v>56</v>
      </c>
      <c r="F156" s="1" t="s">
        <v>188</v>
      </c>
      <c r="G156" s="8" t="s">
        <v>189</v>
      </c>
      <c r="H156" s="2" t="str">
        <f t="shared" si="7"/>
        <v>b56</v>
      </c>
      <c r="I156" s="8" t="s">
        <v>189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94</v>
      </c>
      <c r="D157" s="1" t="s">
        <v>125</v>
      </c>
      <c r="E157" s="1">
        <v>57</v>
      </c>
      <c r="F157" s="1" t="s">
        <v>188</v>
      </c>
      <c r="G157" s="8" t="s">
        <v>189</v>
      </c>
      <c r="H157" s="2" t="str">
        <f t="shared" si="7"/>
        <v>b57</v>
      </c>
      <c r="I157" s="8" t="s">
        <v>189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94</v>
      </c>
      <c r="D158" s="1" t="s">
        <v>126</v>
      </c>
      <c r="E158" s="1">
        <v>58</v>
      </c>
      <c r="F158" s="1" t="s">
        <v>188</v>
      </c>
      <c r="G158" s="8" t="s">
        <v>189</v>
      </c>
      <c r="H158" s="2" t="str">
        <f t="shared" si="7"/>
        <v>b58</v>
      </c>
      <c r="I158" s="8" t="s">
        <v>189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94</v>
      </c>
      <c r="D159" s="1" t="s">
        <v>127</v>
      </c>
      <c r="E159" s="1">
        <v>25</v>
      </c>
      <c r="F159" s="1" t="s">
        <v>188</v>
      </c>
      <c r="G159" s="8" t="s">
        <v>190</v>
      </c>
      <c r="H159" s="2" t="str">
        <f t="shared" si="7"/>
        <v>b25</v>
      </c>
      <c r="I159" s="8" t="s">
        <v>190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94</v>
      </c>
      <c r="D160" s="1" t="s">
        <v>128</v>
      </c>
      <c r="E160" s="1">
        <v>26</v>
      </c>
      <c r="F160" s="1" t="s">
        <v>188</v>
      </c>
      <c r="G160" s="8" t="s">
        <v>190</v>
      </c>
      <c r="H160" s="2" t="str">
        <f t="shared" si="7"/>
        <v>b26</v>
      </c>
      <c r="I160" s="8" t="s">
        <v>190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94</v>
      </c>
      <c r="D161" s="1" t="s">
        <v>129</v>
      </c>
      <c r="E161" s="1">
        <v>27</v>
      </c>
      <c r="F161" s="1" t="s">
        <v>188</v>
      </c>
      <c r="G161" s="8" t="s">
        <v>190</v>
      </c>
      <c r="H161" s="2" t="str">
        <f t="shared" si="7"/>
        <v>b27</v>
      </c>
      <c r="I161" s="8" t="s">
        <v>190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94</v>
      </c>
      <c r="D162" s="1" t="s">
        <v>130</v>
      </c>
      <c r="E162" s="1">
        <v>28</v>
      </c>
      <c r="F162" s="1" t="s">
        <v>188</v>
      </c>
      <c r="G162" s="8" t="s">
        <v>190</v>
      </c>
      <c r="H162" s="2" t="str">
        <f t="shared" si="7"/>
        <v>b28</v>
      </c>
      <c r="I162" s="8" t="s">
        <v>190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94</v>
      </c>
      <c r="D163" s="1" t="s">
        <v>131</v>
      </c>
      <c r="E163" s="1">
        <v>16</v>
      </c>
      <c r="F163" s="1" t="s">
        <v>188</v>
      </c>
      <c r="G163" s="8" t="s">
        <v>172</v>
      </c>
      <c r="H163" s="2" t="str">
        <f t="shared" si="7"/>
        <v>b16</v>
      </c>
      <c r="I163" s="8" t="s">
        <v>173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94</v>
      </c>
      <c r="D164" s="1" t="s">
        <v>132</v>
      </c>
      <c r="E164" s="1">
        <v>17</v>
      </c>
      <c r="F164" s="1" t="s">
        <v>188</v>
      </c>
      <c r="G164" s="8" t="s">
        <v>174</v>
      </c>
      <c r="H164" s="2" t="str">
        <f t="shared" si="7"/>
        <v>b17</v>
      </c>
      <c r="I164" s="8" t="s">
        <v>173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94</v>
      </c>
      <c r="D165" s="1" t="s">
        <v>133</v>
      </c>
      <c r="E165" s="1">
        <v>18</v>
      </c>
      <c r="F165" s="1" t="s">
        <v>188</v>
      </c>
      <c r="G165" s="8" t="s">
        <v>172</v>
      </c>
      <c r="H165" s="2" t="str">
        <f t="shared" si="7"/>
        <v>b18</v>
      </c>
      <c r="I165" s="8" t="s">
        <v>173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94</v>
      </c>
      <c r="D166" s="1" t="s">
        <v>134</v>
      </c>
      <c r="E166" s="1">
        <v>19</v>
      </c>
      <c r="F166" s="1" t="s">
        <v>188</v>
      </c>
      <c r="G166" s="8" t="s">
        <v>174</v>
      </c>
      <c r="H166" s="2" t="str">
        <f t="shared" si="7"/>
        <v>b19</v>
      </c>
      <c r="I166" s="8" t="s">
        <v>173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94</v>
      </c>
      <c r="D167" s="1" t="s">
        <v>135</v>
      </c>
      <c r="E167" s="1">
        <v>20</v>
      </c>
      <c r="F167" s="1" t="s">
        <v>188</v>
      </c>
      <c r="G167" s="8" t="s">
        <v>172</v>
      </c>
      <c r="H167" s="2" t="str">
        <f t="shared" si="7"/>
        <v>b20</v>
      </c>
      <c r="I167" s="8" t="s">
        <v>173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94</v>
      </c>
      <c r="D168" s="1" t="s">
        <v>136</v>
      </c>
      <c r="E168" s="1">
        <v>21</v>
      </c>
      <c r="F168" s="1" t="s">
        <v>188</v>
      </c>
      <c r="G168" s="8" t="s">
        <v>174</v>
      </c>
      <c r="H168" s="2" t="str">
        <f t="shared" si="7"/>
        <v>b21</v>
      </c>
      <c r="I168" s="8" t="s">
        <v>173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94</v>
      </c>
      <c r="D169" s="1" t="s">
        <v>137</v>
      </c>
      <c r="E169" s="1">
        <v>22</v>
      </c>
      <c r="F169" s="1" t="s">
        <v>188</v>
      </c>
      <c r="G169" s="8" t="s">
        <v>175</v>
      </c>
      <c r="H169" s="2" t="str">
        <f t="shared" si="7"/>
        <v>b22</v>
      </c>
      <c r="I169" s="8" t="s">
        <v>176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94</v>
      </c>
      <c r="D170" s="1" t="s">
        <v>138</v>
      </c>
      <c r="E170" s="1">
        <v>23</v>
      </c>
      <c r="F170" s="1" t="s">
        <v>188</v>
      </c>
      <c r="G170" s="8" t="s">
        <v>175</v>
      </c>
      <c r="H170" s="2" t="str">
        <f t="shared" si="7"/>
        <v>b23</v>
      </c>
      <c r="I170" s="8" t="s">
        <v>176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94</v>
      </c>
      <c r="D171" s="1" t="s">
        <v>139</v>
      </c>
      <c r="E171" s="1">
        <v>24</v>
      </c>
      <c r="F171" s="1" t="s">
        <v>188</v>
      </c>
      <c r="G171" s="8" t="s">
        <v>177</v>
      </c>
      <c r="H171" s="2" t="str">
        <f t="shared" si="7"/>
        <v>b24</v>
      </c>
      <c r="I171" s="8" t="s">
        <v>176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94</v>
      </c>
      <c r="D172" s="1" t="s">
        <v>141</v>
      </c>
      <c r="E172" s="1">
        <v>63</v>
      </c>
      <c r="F172" s="1" t="s">
        <v>188</v>
      </c>
      <c r="G172" s="8" t="s">
        <v>172</v>
      </c>
      <c r="H172" s="2" t="str">
        <f t="shared" si="7"/>
        <v>b63</v>
      </c>
      <c r="I172" s="8" t="s">
        <v>173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94</v>
      </c>
      <c r="D173" s="1" t="s">
        <v>142</v>
      </c>
      <c r="E173" s="1">
        <v>64</v>
      </c>
      <c r="F173" s="1" t="s">
        <v>188</v>
      </c>
      <c r="G173" s="8" t="s">
        <v>174</v>
      </c>
      <c r="H173" s="2" t="str">
        <f t="shared" si="7"/>
        <v>b64</v>
      </c>
      <c r="I173" s="8" t="s">
        <v>173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94</v>
      </c>
      <c r="D174" s="1" t="s">
        <v>143</v>
      </c>
      <c r="E174" s="1">
        <v>65</v>
      </c>
      <c r="F174" s="1" t="s">
        <v>188</v>
      </c>
      <c r="G174" s="8" t="s">
        <v>172</v>
      </c>
      <c r="H174" s="2" t="str">
        <f t="shared" si="7"/>
        <v>b65</v>
      </c>
      <c r="I174" s="8" t="s">
        <v>173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94</v>
      </c>
      <c r="D175" s="1" t="s">
        <v>144</v>
      </c>
      <c r="E175" s="1">
        <v>66</v>
      </c>
      <c r="F175" s="1" t="s">
        <v>188</v>
      </c>
      <c r="G175" s="8" t="s">
        <v>174</v>
      </c>
      <c r="H175" s="2" t="str">
        <f t="shared" si="7"/>
        <v>b66</v>
      </c>
      <c r="I175" s="8" t="s">
        <v>173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94</v>
      </c>
      <c r="D176" s="1" t="s">
        <v>145</v>
      </c>
      <c r="E176" s="1">
        <v>67</v>
      </c>
      <c r="F176" s="1" t="s">
        <v>188</v>
      </c>
      <c r="G176" s="8" t="s">
        <v>172</v>
      </c>
      <c r="H176" s="2" t="str">
        <f t="shared" si="7"/>
        <v>b67</v>
      </c>
      <c r="I176" s="8" t="s">
        <v>173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94</v>
      </c>
      <c r="D177" s="1" t="s">
        <v>146</v>
      </c>
      <c r="E177" s="1">
        <v>68</v>
      </c>
      <c r="F177" s="1" t="s">
        <v>188</v>
      </c>
      <c r="G177" s="8" t="s">
        <v>174</v>
      </c>
      <c r="H177" s="2" t="str">
        <f t="shared" si="7"/>
        <v>b68</v>
      </c>
      <c r="I177" s="8" t="s">
        <v>173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94</v>
      </c>
      <c r="D178" s="1" t="s">
        <v>147</v>
      </c>
      <c r="E178" s="1">
        <v>69</v>
      </c>
      <c r="F178" s="1" t="s">
        <v>188</v>
      </c>
      <c r="G178" s="8" t="s">
        <v>175</v>
      </c>
      <c r="H178" s="2" t="str">
        <f t="shared" si="7"/>
        <v>b69</v>
      </c>
      <c r="I178" s="8" t="s">
        <v>176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94</v>
      </c>
      <c r="D179" s="1" t="s">
        <v>148</v>
      </c>
      <c r="E179" s="1">
        <v>70</v>
      </c>
      <c r="F179" s="1" t="s">
        <v>188</v>
      </c>
      <c r="G179" s="8" t="s">
        <v>175</v>
      </c>
      <c r="H179" s="2" t="str">
        <f t="shared" si="7"/>
        <v>b70</v>
      </c>
      <c r="I179" s="8" t="s">
        <v>176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94</v>
      </c>
      <c r="D180" s="1" t="s">
        <v>149</v>
      </c>
      <c r="E180" s="1">
        <v>71</v>
      </c>
      <c r="F180" s="1" t="s">
        <v>188</v>
      </c>
      <c r="G180" s="8" t="s">
        <v>177</v>
      </c>
      <c r="H180" s="2" t="str">
        <f t="shared" si="7"/>
        <v>b71</v>
      </c>
      <c r="I180" s="8" t="s">
        <v>176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94</v>
      </c>
      <c r="D181" s="1" t="s">
        <v>151</v>
      </c>
      <c r="E181" s="1">
        <v>73</v>
      </c>
      <c r="F181" s="1" t="s">
        <v>188</v>
      </c>
      <c r="G181" s="8" t="s">
        <v>172</v>
      </c>
      <c r="H181" s="2" t="str">
        <f t="shared" si="7"/>
        <v>b73</v>
      </c>
      <c r="I181" s="8" t="s">
        <v>173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94</v>
      </c>
      <c r="D182" s="1" t="s">
        <v>152</v>
      </c>
      <c r="E182" s="1">
        <v>74</v>
      </c>
      <c r="F182" s="1" t="s">
        <v>188</v>
      </c>
      <c r="G182" s="8" t="s">
        <v>174</v>
      </c>
      <c r="H182" s="2" t="str">
        <f t="shared" si="7"/>
        <v>b74</v>
      </c>
      <c r="I182" s="8" t="s">
        <v>173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94</v>
      </c>
      <c r="D183" s="1" t="s">
        <v>153</v>
      </c>
      <c r="E183" s="1">
        <v>75</v>
      </c>
      <c r="F183" s="1" t="s">
        <v>188</v>
      </c>
      <c r="G183" s="8" t="s">
        <v>172</v>
      </c>
      <c r="H183" s="2" t="str">
        <f t="shared" si="7"/>
        <v>b75</v>
      </c>
      <c r="I183" s="8" t="s">
        <v>173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94</v>
      </c>
      <c r="D184" s="1" t="s">
        <v>154</v>
      </c>
      <c r="E184" s="1">
        <v>76</v>
      </c>
      <c r="F184" s="1" t="s">
        <v>188</v>
      </c>
      <c r="G184" s="8" t="s">
        <v>174</v>
      </c>
      <c r="H184" s="2" t="str">
        <f t="shared" si="7"/>
        <v>b76</v>
      </c>
      <c r="I184" s="8" t="s">
        <v>173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94</v>
      </c>
      <c r="D185" s="1" t="s">
        <v>155</v>
      </c>
      <c r="E185" s="1">
        <v>77</v>
      </c>
      <c r="F185" s="1" t="s">
        <v>188</v>
      </c>
      <c r="G185" s="8" t="s">
        <v>172</v>
      </c>
      <c r="H185" s="2" t="str">
        <f t="shared" si="7"/>
        <v>b77</v>
      </c>
      <c r="I185" s="8" t="s">
        <v>173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94</v>
      </c>
      <c r="D186" s="1" t="s">
        <v>156</v>
      </c>
      <c r="E186" s="1">
        <v>78</v>
      </c>
      <c r="F186" s="1" t="s">
        <v>188</v>
      </c>
      <c r="G186" s="8" t="s">
        <v>174</v>
      </c>
      <c r="H186" s="2" t="str">
        <f t="shared" si="7"/>
        <v>b78</v>
      </c>
      <c r="I186" s="8" t="s">
        <v>173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94</v>
      </c>
      <c r="D187" s="1" t="s">
        <v>157</v>
      </c>
      <c r="E187" s="1">
        <v>79</v>
      </c>
      <c r="F187" s="1" t="s">
        <v>188</v>
      </c>
      <c r="G187" s="8" t="s">
        <v>175</v>
      </c>
      <c r="H187" s="2" t="str">
        <f t="shared" si="7"/>
        <v>b79</v>
      </c>
      <c r="I187" s="8" t="s">
        <v>176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94</v>
      </c>
      <c r="D188" s="1" t="s">
        <v>158</v>
      </c>
      <c r="E188" s="1">
        <v>80</v>
      </c>
      <c r="F188" s="1" t="s">
        <v>188</v>
      </c>
      <c r="G188" s="8" t="s">
        <v>175</v>
      </c>
      <c r="H188" s="2" t="str">
        <f t="shared" si="7"/>
        <v>b80</v>
      </c>
      <c r="I188" s="8" t="s">
        <v>176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94</v>
      </c>
      <c r="D189" s="1" t="s">
        <v>159</v>
      </c>
      <c r="E189" s="1">
        <v>81</v>
      </c>
      <c r="F189" s="1" t="s">
        <v>188</v>
      </c>
      <c r="G189" s="8" t="s">
        <v>177</v>
      </c>
      <c r="H189" s="2" t="str">
        <f t="shared" si="7"/>
        <v>b81</v>
      </c>
      <c r="I189" s="8" t="s">
        <v>176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94</v>
      </c>
      <c r="D190" s="1" t="s">
        <v>161</v>
      </c>
      <c r="E190" s="1">
        <v>51</v>
      </c>
      <c r="F190" s="1" t="s">
        <v>188</v>
      </c>
      <c r="G190" s="8" t="s">
        <v>180</v>
      </c>
      <c r="H190" s="2" t="str">
        <f t="shared" si="7"/>
        <v>b51</v>
      </c>
      <c r="I190" s="8" t="s">
        <v>180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94</v>
      </c>
      <c r="D191" s="1" t="s">
        <v>67</v>
      </c>
      <c r="E191" s="1">
        <v>4</v>
      </c>
      <c r="F191" s="1" t="s">
        <v>167</v>
      </c>
      <c r="G191" s="8" t="s">
        <v>182</v>
      </c>
      <c r="H191" s="2" t="str">
        <f t="shared" si="7"/>
        <v>a4</v>
      </c>
      <c r="I191" s="8" t="s">
        <v>183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94</v>
      </c>
      <c r="D192" s="1" t="s">
        <v>79</v>
      </c>
      <c r="E192" s="1">
        <v>3</v>
      </c>
      <c r="F192" s="1" t="s">
        <v>167</v>
      </c>
      <c r="G192" s="8" t="s">
        <v>184</v>
      </c>
      <c r="H192" s="2" t="str">
        <f t="shared" si="7"/>
        <v>a3</v>
      </c>
      <c r="I192" s="8" t="s">
        <v>185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94</v>
      </c>
      <c r="D193" s="1" t="s">
        <v>89</v>
      </c>
      <c r="E193" s="1">
        <v>1</v>
      </c>
      <c r="F193" s="1" t="s">
        <v>167</v>
      </c>
      <c r="G193" s="8" t="s">
        <v>186</v>
      </c>
      <c r="H193" s="2" t="str">
        <f t="shared" si="7"/>
        <v>a1</v>
      </c>
      <c r="I193" s="8" t="s">
        <v>187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94</v>
      </c>
      <c r="D194" s="1" t="s">
        <v>140</v>
      </c>
      <c r="E194" s="1">
        <v>4</v>
      </c>
      <c r="F194" s="1" t="s">
        <v>188</v>
      </c>
      <c r="G194" s="8" t="s">
        <v>191</v>
      </c>
      <c r="H194" s="2" t="str">
        <f t="shared" si="7"/>
        <v>b4</v>
      </c>
      <c r="I194" s="8" t="s">
        <v>192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94</v>
      </c>
      <c r="D195" s="1" t="s">
        <v>150</v>
      </c>
      <c r="E195" s="1">
        <v>3</v>
      </c>
      <c r="F195" s="1" t="s">
        <v>188</v>
      </c>
      <c r="G195" s="8" t="s">
        <v>193</v>
      </c>
      <c r="H195" s="2" t="str">
        <f t="shared" ref="H195:H196" si="11">_xlfn.CONCAT(LOWER(F195),E195)</f>
        <v>b3</v>
      </c>
      <c r="I195" s="8" t="s">
        <v>194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94</v>
      </c>
      <c r="D196" s="1" t="s">
        <v>160</v>
      </c>
      <c r="E196" s="1">
        <v>1</v>
      </c>
      <c r="F196" s="1" t="s">
        <v>188</v>
      </c>
      <c r="G196" s="8" t="s">
        <v>195</v>
      </c>
      <c r="H196" s="2" t="str">
        <f t="shared" si="11"/>
        <v>b1</v>
      </c>
      <c r="I196" s="8" t="s">
        <v>196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A96C-314C-4D0F-A31C-2D0C36E8E519}">
  <dimension ref="A1:I59"/>
  <sheetViews>
    <sheetView topLeftCell="A42" workbookViewId="0">
      <selection activeCell="B4" sqref="B4"/>
    </sheetView>
  </sheetViews>
  <sheetFormatPr defaultRowHeight="15" x14ac:dyDescent="0.25"/>
  <cols>
    <col min="2" max="2" width="66.5703125" customWidth="1"/>
    <col min="3" max="3" width="52.7109375" customWidth="1"/>
    <col min="4" max="4" width="55.28515625" customWidth="1"/>
    <col min="5" max="5" width="18.85546875" style="26" customWidth="1"/>
    <col min="6" max="6" width="16.28515625" bestFit="1" customWidth="1"/>
    <col min="7" max="7" width="9.5703125" customWidth="1"/>
    <col min="8" max="8" width="146.140625" bestFit="1" customWidth="1"/>
    <col min="9" max="9" width="68.42578125" bestFit="1" customWidth="1"/>
  </cols>
  <sheetData>
    <row r="1" spans="1:9" s="27" customFormat="1" ht="18.75" x14ac:dyDescent="0.3">
      <c r="B1" s="27" t="s">
        <v>350</v>
      </c>
      <c r="C1" s="27" t="s">
        <v>354</v>
      </c>
      <c r="D1" s="27" t="s">
        <v>351</v>
      </c>
      <c r="E1" s="28"/>
      <c r="F1" s="27" t="s">
        <v>352</v>
      </c>
      <c r="G1" s="27" t="s">
        <v>353</v>
      </c>
      <c r="H1" s="27" t="s">
        <v>348</v>
      </c>
    </row>
    <row r="2" spans="1:9" x14ac:dyDescent="0.25">
      <c r="A2">
        <v>101</v>
      </c>
      <c r="B2" t="s">
        <v>198</v>
      </c>
      <c r="C2" t="str">
        <f>SUBSTITUTE(SUBSTITUTE(B2,"GVL_Alarms.",""),".","_")</f>
        <v>EMERGENCY_STOP_COMMON</v>
      </c>
      <c r="D2" t="s">
        <v>199</v>
      </c>
      <c r="E2" s="26">
        <f>LEN(D2)</f>
        <v>22</v>
      </c>
      <c r="F2" t="s">
        <v>31</v>
      </c>
      <c r="G2" t="s">
        <v>200</v>
      </c>
      <c r="H2" t="str">
        <f>_xlfn.CONCAT(C2,"(Bit_Input:=",B2,",ID:=",A2,",Add_Info:=","'');")</f>
        <v>EMERGENCY_STOP_COMMON(Bit_Input:=GVL_Alarms.EMERGENCY_STOP_COMMON,ID:=101,Add_Info:='');</v>
      </c>
      <c r="I2" t="str">
        <f>_xlfn.CONCAT(C2,": MGSE_AlarmBit;")</f>
        <v>EMERGENCY_STOP_COMMON: MGSE_AlarmBit;</v>
      </c>
    </row>
    <row r="3" spans="1:9" x14ac:dyDescent="0.25">
      <c r="A3">
        <v>102</v>
      </c>
      <c r="B3" t="s">
        <v>201</v>
      </c>
      <c r="C3" t="str">
        <f t="shared" ref="C3:C59" si="0">SUBSTITUTE(SUBSTITUTE(B3,"GVL_Alarms.",""),".","_")</f>
        <v>EMERGENCY_STOP_DRIVER</v>
      </c>
      <c r="D3" t="s">
        <v>202</v>
      </c>
      <c r="E3" s="26">
        <f t="shared" ref="E3:E59" si="1">LEN(D3)</f>
        <v>28</v>
      </c>
      <c r="F3" t="s">
        <v>31</v>
      </c>
      <c r="G3" t="s">
        <v>200</v>
      </c>
      <c r="H3" t="str">
        <f t="shared" ref="H3:H59" si="2">_xlfn.CONCAT(C3,"(Bit_Input:=",B3,",ID:=",A3,",Add_Info:=","'');")</f>
        <v>EMERGENCY_STOP_DRIVER(Bit_Input:=GVL_Alarms.EMERGENCY_STOP_DRIVER,ID:=102,Add_Info:='');</v>
      </c>
      <c r="I3" t="str">
        <f t="shared" ref="I3:I59" si="3">_xlfn.CONCAT(C3,": MGSE_AlarmBit;")</f>
        <v>EMERGENCY_STOP_DRIVER: MGSE_AlarmBit;</v>
      </c>
    </row>
    <row r="4" spans="1:9" x14ac:dyDescent="0.25">
      <c r="A4">
        <v>103</v>
      </c>
      <c r="B4" t="s">
        <v>203</v>
      </c>
      <c r="C4" t="str">
        <f t="shared" si="0"/>
        <v>EMERGENCY_STOP_CHASSIS_LEFT</v>
      </c>
      <c r="D4" t="s">
        <v>204</v>
      </c>
      <c r="E4" s="26">
        <f t="shared" si="1"/>
        <v>34</v>
      </c>
      <c r="F4" t="s">
        <v>31</v>
      </c>
      <c r="G4" t="s">
        <v>200</v>
      </c>
      <c r="H4" t="str">
        <f t="shared" si="2"/>
        <v>EMERGENCY_STOP_CHASSIS_LEFT(Bit_Input:=GVL_Alarms.EMERGENCY_STOP_CHASSIS_LEFT,ID:=103,Add_Info:='');</v>
      </c>
      <c r="I4" t="str">
        <f t="shared" si="3"/>
        <v>EMERGENCY_STOP_CHASSIS_LEFT: MGSE_AlarmBit;</v>
      </c>
    </row>
    <row r="5" spans="1:9" x14ac:dyDescent="0.25">
      <c r="A5">
        <v>104</v>
      </c>
      <c r="B5" t="s">
        <v>205</v>
      </c>
      <c r="C5" t="str">
        <f t="shared" si="0"/>
        <v>EMERGENCY_STOP_CHASSIS_RIGHT</v>
      </c>
      <c r="D5" t="s">
        <v>206</v>
      </c>
      <c r="E5" s="26">
        <f t="shared" si="1"/>
        <v>33</v>
      </c>
      <c r="F5" t="s">
        <v>31</v>
      </c>
      <c r="G5" t="s">
        <v>200</v>
      </c>
      <c r="H5" t="str">
        <f t="shared" si="2"/>
        <v>EMERGENCY_STOP_CHASSIS_RIGHT(Bit_Input:=GVL_Alarms.EMERGENCY_STOP_CHASSIS_RIGHT,ID:=104,Add_Info:='');</v>
      </c>
      <c r="I5" t="str">
        <f t="shared" si="3"/>
        <v>EMERGENCY_STOP_CHASSIS_RIGHT: MGSE_AlarmBit;</v>
      </c>
    </row>
    <row r="6" spans="1:9" x14ac:dyDescent="0.25">
      <c r="A6">
        <v>105</v>
      </c>
      <c r="B6" t="s">
        <v>207</v>
      </c>
      <c r="C6" t="str">
        <f t="shared" si="0"/>
        <v>EMERGENCY_STOP_CABIN</v>
      </c>
      <c r="D6" t="s">
        <v>208</v>
      </c>
      <c r="E6" s="26">
        <f t="shared" si="1"/>
        <v>27</v>
      </c>
      <c r="F6" t="s">
        <v>31</v>
      </c>
      <c r="G6" t="s">
        <v>200</v>
      </c>
      <c r="H6" t="str">
        <f t="shared" si="2"/>
        <v>EMERGENCY_STOP_CABIN(Bit_Input:=GVL_Alarms.EMERGENCY_STOP_CABIN,ID:=105,Add_Info:='');</v>
      </c>
      <c r="I6" t="str">
        <f t="shared" si="3"/>
        <v>EMERGENCY_STOP_CABIN: MGSE_AlarmBit;</v>
      </c>
    </row>
    <row r="7" spans="1:9" x14ac:dyDescent="0.25">
      <c r="A7">
        <v>106</v>
      </c>
      <c r="B7" t="s">
        <v>209</v>
      </c>
      <c r="C7" t="str">
        <f t="shared" si="0"/>
        <v>EMERGENCY_STOP_REAR</v>
      </c>
      <c r="D7" t="s">
        <v>210</v>
      </c>
      <c r="E7" s="26">
        <f t="shared" si="1"/>
        <v>26</v>
      </c>
      <c r="F7" t="s">
        <v>31</v>
      </c>
      <c r="G7" t="s">
        <v>200</v>
      </c>
      <c r="H7" t="str">
        <f t="shared" si="2"/>
        <v>EMERGENCY_STOP_REAR(Bit_Input:=GVL_Alarms.EMERGENCY_STOP_REAR,ID:=106,Add_Info:='');</v>
      </c>
      <c r="I7" t="str">
        <f t="shared" si="3"/>
        <v>EMERGENCY_STOP_REAR: MGSE_AlarmBit;</v>
      </c>
    </row>
    <row r="8" spans="1:9" x14ac:dyDescent="0.25">
      <c r="A8">
        <v>107</v>
      </c>
      <c r="B8" t="s">
        <v>211</v>
      </c>
      <c r="C8" t="str">
        <f t="shared" si="0"/>
        <v>EMERGENCY_STOP_Platform</v>
      </c>
      <c r="D8" t="s">
        <v>212</v>
      </c>
      <c r="E8" s="26">
        <f t="shared" si="1"/>
        <v>30</v>
      </c>
      <c r="F8" t="s">
        <v>31</v>
      </c>
      <c r="G8" t="s">
        <v>200</v>
      </c>
      <c r="H8" t="str">
        <f t="shared" si="2"/>
        <v>EMERGENCY_STOP_Platform(Bit_Input:=GVL_Alarms.EMERGENCY_STOP_Platform,ID:=107,Add_Info:='');</v>
      </c>
      <c r="I8" t="str">
        <f t="shared" si="3"/>
        <v>EMERGENCY_STOP_Platform: MGSE_AlarmBit;</v>
      </c>
    </row>
    <row r="9" spans="1:9" x14ac:dyDescent="0.25">
      <c r="A9">
        <v>108</v>
      </c>
      <c r="B9" t="s">
        <v>213</v>
      </c>
      <c r="C9" t="str">
        <f t="shared" si="0"/>
        <v>ETHERNET_PLC_COMMON_FAILURE</v>
      </c>
      <c r="D9" t="s">
        <v>214</v>
      </c>
      <c r="E9" s="26">
        <f t="shared" si="1"/>
        <v>23</v>
      </c>
      <c r="F9" t="s">
        <v>31</v>
      </c>
      <c r="G9" t="s">
        <v>200</v>
      </c>
      <c r="H9" t="str">
        <f t="shared" si="2"/>
        <v>ETHERNET_PLC_COMMON_FAILURE(Bit_Input:=GVL_Alarms.ETHERNET_PLC_COMMON_FAILURE,ID:=108,Add_Info:='');</v>
      </c>
      <c r="I9" t="str">
        <f t="shared" si="3"/>
        <v>ETHERNET_PLC_COMMON_FAILURE: MGSE_AlarmBit;</v>
      </c>
    </row>
    <row r="10" spans="1:9" x14ac:dyDescent="0.25">
      <c r="A10">
        <v>109</v>
      </c>
      <c r="B10" t="s">
        <v>215</v>
      </c>
      <c r="C10" t="str">
        <f t="shared" si="0"/>
        <v>ETHERNET_DICP_PLC_MISSING</v>
      </c>
      <c r="D10" t="s">
        <v>216</v>
      </c>
      <c r="E10" s="26">
        <f t="shared" si="1"/>
        <v>33</v>
      </c>
      <c r="F10" t="s">
        <v>31</v>
      </c>
      <c r="G10" t="s">
        <v>200</v>
      </c>
      <c r="H10" t="str">
        <f t="shared" si="2"/>
        <v>ETHERNET_DICP_PLC_MISSING(Bit_Input:=GVL_Alarms.ETHERNET_DICP_PLC_MISSING,ID:=109,Add_Info:='');</v>
      </c>
      <c r="I10" t="str">
        <f t="shared" si="3"/>
        <v>ETHERNET_DICP_PLC_MISSING: MGSE_AlarmBit;</v>
      </c>
    </row>
    <row r="11" spans="1:9" x14ac:dyDescent="0.25">
      <c r="A11">
        <v>110</v>
      </c>
      <c r="B11" t="s">
        <v>217</v>
      </c>
      <c r="C11" t="str">
        <f t="shared" si="0"/>
        <v>ETHERNET_CHASSIS_PLC_MISSING</v>
      </c>
      <c r="D11" t="s">
        <v>218</v>
      </c>
      <c r="E11" s="26">
        <f t="shared" si="1"/>
        <v>36</v>
      </c>
      <c r="F11" t="s">
        <v>31</v>
      </c>
      <c r="G11" t="s">
        <v>200</v>
      </c>
      <c r="H11" t="str">
        <f t="shared" si="2"/>
        <v>ETHERNET_CHASSIS_PLC_MISSING(Bit_Input:=GVL_Alarms.ETHERNET_CHASSIS_PLC_MISSING,ID:=110,Add_Info:='');</v>
      </c>
      <c r="I11" t="str">
        <f t="shared" si="3"/>
        <v>ETHERNET_CHASSIS_PLC_MISSING: MGSE_AlarmBit;</v>
      </c>
    </row>
    <row r="12" spans="1:9" x14ac:dyDescent="0.25">
      <c r="A12">
        <v>111</v>
      </c>
      <c r="B12" t="s">
        <v>219</v>
      </c>
      <c r="C12" t="str">
        <f t="shared" si="0"/>
        <v>ETHERNET_CABIN_PLC_MISSING</v>
      </c>
      <c r="D12" t="s">
        <v>220</v>
      </c>
      <c r="E12" s="26">
        <f t="shared" si="1"/>
        <v>34</v>
      </c>
      <c r="F12" t="s">
        <v>31</v>
      </c>
      <c r="G12" t="s">
        <v>200</v>
      </c>
      <c r="H12" t="str">
        <f t="shared" si="2"/>
        <v>ETHERNET_CABIN_PLC_MISSING(Bit_Input:=GVL_Alarms.ETHERNET_CABIN_PLC_MISSING,ID:=111,Add_Info:='');</v>
      </c>
      <c r="I12" t="str">
        <f t="shared" si="3"/>
        <v>ETHERNET_CABIN_PLC_MISSING: MGSE_AlarmBit;</v>
      </c>
    </row>
    <row r="13" spans="1:9" x14ac:dyDescent="0.25">
      <c r="A13">
        <v>200</v>
      </c>
      <c r="B13" t="s">
        <v>221</v>
      </c>
      <c r="C13" t="str">
        <f t="shared" si="0"/>
        <v>Mains_Pump_Failed_To_RUN</v>
      </c>
      <c r="D13" t="s">
        <v>222</v>
      </c>
      <c r="E13" s="26">
        <f t="shared" si="1"/>
        <v>23</v>
      </c>
      <c r="F13" t="s">
        <v>223</v>
      </c>
      <c r="G13" t="s">
        <v>200</v>
      </c>
      <c r="H13" t="str">
        <f t="shared" si="2"/>
        <v>Mains_Pump_Failed_To_RUN(Bit_Input:=GVL_Alarms.Mains_Pump_Failed_To_RUN,ID:=200,Add_Info:='');</v>
      </c>
      <c r="I13" t="str">
        <f t="shared" si="3"/>
        <v>Mains_Pump_Failed_To_RUN: MGSE_AlarmBit;</v>
      </c>
    </row>
    <row r="14" spans="1:9" x14ac:dyDescent="0.25">
      <c r="A14">
        <v>201</v>
      </c>
      <c r="B14" t="s">
        <v>224</v>
      </c>
      <c r="C14" t="str">
        <f t="shared" si="0"/>
        <v>Leuze_Sensors_Lockout_Mode</v>
      </c>
      <c r="D14" t="s">
        <v>225</v>
      </c>
      <c r="E14" s="26">
        <f t="shared" si="1"/>
        <v>36</v>
      </c>
      <c r="F14" t="s">
        <v>23</v>
      </c>
      <c r="G14" t="s">
        <v>200</v>
      </c>
      <c r="H14" t="str">
        <f t="shared" si="2"/>
        <v>Leuze_Sensors_Lockout_Mode(Bit_Input:=GVL_Alarms.Leuze_Sensors_Lockout_Mode,ID:=201,Add_Info:='');</v>
      </c>
      <c r="I14" t="str">
        <f t="shared" si="3"/>
        <v>Leuze_Sensors_Lockout_Mode: MGSE_AlarmBit;</v>
      </c>
    </row>
    <row r="15" spans="1:9" x14ac:dyDescent="0.25">
      <c r="A15">
        <v>202</v>
      </c>
      <c r="B15" t="s">
        <v>321</v>
      </c>
      <c r="C15" t="str">
        <f t="shared" si="0"/>
        <v>JacksLostPressure</v>
      </c>
      <c r="D15" t="s">
        <v>323</v>
      </c>
      <c r="E15" s="26">
        <f t="shared" si="1"/>
        <v>19</v>
      </c>
      <c r="F15" t="s">
        <v>197</v>
      </c>
      <c r="G15" t="s">
        <v>200</v>
      </c>
      <c r="H15" t="str">
        <f t="shared" si="2"/>
        <v>JacksLostPressure(Bit_Input:=GVL_Alarms.JacksLostPressure,ID:=202,Add_Info:='');</v>
      </c>
      <c r="I15" t="str">
        <f t="shared" si="3"/>
        <v>JacksLostPressure: MGSE_AlarmBit;</v>
      </c>
    </row>
    <row r="16" spans="1:9" x14ac:dyDescent="0.25">
      <c r="A16">
        <v>203</v>
      </c>
      <c r="B16" t="s">
        <v>226</v>
      </c>
      <c r="C16" t="str">
        <f t="shared" si="0"/>
        <v>Safety_Edge_Lockout_Mode</v>
      </c>
      <c r="D16" t="s">
        <v>227</v>
      </c>
      <c r="E16" s="26">
        <f t="shared" si="1"/>
        <v>24</v>
      </c>
      <c r="F16" t="s">
        <v>197</v>
      </c>
      <c r="G16" t="s">
        <v>200</v>
      </c>
      <c r="H16" t="str">
        <f t="shared" si="2"/>
        <v>Safety_Edge_Lockout_Mode(Bit_Input:=GVL_Alarms.Safety_Edge_Lockout_Mode,ID:=203,Add_Info:='');</v>
      </c>
      <c r="I16" t="str">
        <f t="shared" si="3"/>
        <v>Safety_Edge_Lockout_Mode: MGSE_AlarmBit;</v>
      </c>
    </row>
    <row r="17" spans="1:9" x14ac:dyDescent="0.25">
      <c r="A17">
        <v>204</v>
      </c>
      <c r="B17" t="s">
        <v>322</v>
      </c>
      <c r="C17" t="str">
        <f t="shared" si="0"/>
        <v>CAS_3DSENSOR_OFFLINE</v>
      </c>
      <c r="D17" t="s">
        <v>228</v>
      </c>
      <c r="E17" s="26">
        <f t="shared" si="1"/>
        <v>20</v>
      </c>
      <c r="F17" t="s">
        <v>23</v>
      </c>
      <c r="G17" t="s">
        <v>200</v>
      </c>
      <c r="H17" t="str">
        <f t="shared" si="2"/>
        <v>CAS_3DSENSOR_OFFLINE(Bit_Input:=GVL_Alarms.CAS_3DSENSOR_OFFLINE,ID:=204,Add_Info:='');</v>
      </c>
      <c r="I17" t="str">
        <f t="shared" si="3"/>
        <v>CAS_3DSENSOR_OFFLINE: MGSE_AlarmBit;</v>
      </c>
    </row>
    <row r="18" spans="1:9" x14ac:dyDescent="0.25">
      <c r="A18">
        <v>300</v>
      </c>
      <c r="B18" t="s">
        <v>229</v>
      </c>
      <c r="C18" t="str">
        <f t="shared" si="0"/>
        <v>STUCK_ON_PU_BITS_CAS_Reset_Button</v>
      </c>
      <c r="D18" t="s">
        <v>230</v>
      </c>
      <c r="E18" s="26">
        <f t="shared" si="1"/>
        <v>41</v>
      </c>
      <c r="F18" t="s">
        <v>231</v>
      </c>
      <c r="G18" t="s">
        <v>200</v>
      </c>
      <c r="H18" t="str">
        <f t="shared" si="2"/>
        <v>STUCK_ON_PU_BITS_CAS_Reset_Button(Bit_Input:=GVL_Alarms.STUCK_ON_PU.BITS.CAS_Reset_Button,ID:=300,Add_Info:='');</v>
      </c>
      <c r="I18" t="str">
        <f t="shared" si="3"/>
        <v>STUCK_ON_PU_BITS_CAS_Reset_Button: MGSE_AlarmBit;</v>
      </c>
    </row>
    <row r="19" spans="1:9" x14ac:dyDescent="0.25">
      <c r="A19">
        <v>301</v>
      </c>
      <c r="B19" t="s">
        <v>232</v>
      </c>
      <c r="C19" t="str">
        <f t="shared" si="0"/>
        <v>STUCK_ON_PU_BITS_Chassis_Deadman_Button</v>
      </c>
      <c r="D19" t="s">
        <v>233</v>
      </c>
      <c r="E19" s="26">
        <f t="shared" si="1"/>
        <v>47</v>
      </c>
      <c r="F19" t="s">
        <v>231</v>
      </c>
      <c r="G19" t="s">
        <v>200</v>
      </c>
      <c r="H19" t="str">
        <f t="shared" si="2"/>
        <v>STUCK_ON_PU_BITS_Chassis_Deadman_Button(Bit_Input:=GVL_Alarms.STUCK_ON_PU.BITS.Chassis_Deadman_Button,ID:=301,Add_Info:='');</v>
      </c>
      <c r="I19" t="str">
        <f t="shared" si="3"/>
        <v>STUCK_ON_PU_BITS_Chassis_Deadman_Button: MGSE_AlarmBit;</v>
      </c>
    </row>
    <row r="20" spans="1:9" x14ac:dyDescent="0.25">
      <c r="A20">
        <v>302</v>
      </c>
      <c r="B20" t="s">
        <v>234</v>
      </c>
      <c r="C20" t="str">
        <f t="shared" si="0"/>
        <v>STUCK_ON_PU_BITS_Chassis_Cabin_Raise_Button</v>
      </c>
      <c r="D20" t="s">
        <v>235</v>
      </c>
      <c r="E20" s="26">
        <f t="shared" si="1"/>
        <v>51</v>
      </c>
      <c r="F20" t="s">
        <v>231</v>
      </c>
      <c r="G20" t="s">
        <v>200</v>
      </c>
      <c r="H20" t="str">
        <f t="shared" si="2"/>
        <v>STUCK_ON_PU_BITS_Chassis_Cabin_Raise_Button(Bit_Input:=GVL_Alarms.STUCK_ON_PU.BITS.Chassis_Cabin_Raise_Button,ID:=302,Add_Info:='');</v>
      </c>
      <c r="I20" t="str">
        <f t="shared" si="3"/>
        <v>STUCK_ON_PU_BITS_Chassis_Cabin_Raise_Button: MGSE_AlarmBit;</v>
      </c>
    </row>
    <row r="21" spans="1:9" x14ac:dyDescent="0.25">
      <c r="A21">
        <v>303</v>
      </c>
      <c r="B21" t="s">
        <v>236</v>
      </c>
      <c r="C21" t="str">
        <f t="shared" si="0"/>
        <v>STUCK_ON_PU_BITS_Chassis_Cabin_Lower_Button</v>
      </c>
      <c r="D21" t="s">
        <v>237</v>
      </c>
      <c r="E21" s="26">
        <f t="shared" si="1"/>
        <v>51</v>
      </c>
      <c r="F21" t="s">
        <v>231</v>
      </c>
      <c r="G21" t="s">
        <v>200</v>
      </c>
      <c r="H21" t="str">
        <f t="shared" si="2"/>
        <v>STUCK_ON_PU_BITS_Chassis_Cabin_Lower_Button(Bit_Input:=GVL_Alarms.STUCK_ON_PU.BITS.Chassis_Cabin_Lower_Button,ID:=303,Add_Info:='');</v>
      </c>
      <c r="I21" t="str">
        <f t="shared" si="3"/>
        <v>STUCK_ON_PU_BITS_Chassis_Cabin_Lower_Button: MGSE_AlarmBit;</v>
      </c>
    </row>
    <row r="22" spans="1:9" x14ac:dyDescent="0.25">
      <c r="A22">
        <v>304</v>
      </c>
      <c r="B22" t="s">
        <v>238</v>
      </c>
      <c r="C22" t="str">
        <f t="shared" si="0"/>
        <v>STUCK_ON_PU_BITS_Chassis_Jacklegs_Raise_Button</v>
      </c>
      <c r="D22" t="s">
        <v>239</v>
      </c>
      <c r="E22" s="26">
        <f t="shared" si="1"/>
        <v>54</v>
      </c>
      <c r="F22" t="s">
        <v>231</v>
      </c>
      <c r="G22" t="s">
        <v>200</v>
      </c>
      <c r="H22" t="str">
        <f t="shared" si="2"/>
        <v>STUCK_ON_PU_BITS_Chassis_Jacklegs_Raise_Button(Bit_Input:=GVL_Alarms.STUCK_ON_PU.BITS.Chassis_Jacklegs_Raise_Button,ID:=304,Add_Info:='');</v>
      </c>
      <c r="I22" t="str">
        <f t="shared" si="3"/>
        <v>STUCK_ON_PU_BITS_Chassis_Jacklegs_Raise_Button: MGSE_AlarmBit;</v>
      </c>
    </row>
    <row r="23" spans="1:9" x14ac:dyDescent="0.25">
      <c r="A23">
        <v>305</v>
      </c>
      <c r="B23" t="s">
        <v>240</v>
      </c>
      <c r="C23" t="str">
        <f t="shared" si="0"/>
        <v>STUCK_ON_PU_BITS_Chassis_Jacklegs_Lower_Button</v>
      </c>
      <c r="D23" t="s">
        <v>241</v>
      </c>
      <c r="E23" s="26">
        <f t="shared" si="1"/>
        <v>54</v>
      </c>
      <c r="F23" t="s">
        <v>231</v>
      </c>
      <c r="G23" t="s">
        <v>200</v>
      </c>
      <c r="H23" t="str">
        <f t="shared" si="2"/>
        <v>STUCK_ON_PU_BITS_Chassis_Jacklegs_Lower_Button(Bit_Input:=GVL_Alarms.STUCK_ON_PU.BITS.Chassis_Jacklegs_Lower_Button,ID:=305,Add_Info:='');</v>
      </c>
      <c r="I23" t="str">
        <f t="shared" si="3"/>
        <v>STUCK_ON_PU_BITS_Chassis_Jacklegs_Lower_Button: MGSE_AlarmBit;</v>
      </c>
    </row>
    <row r="24" spans="1:9" x14ac:dyDescent="0.25">
      <c r="A24">
        <v>306</v>
      </c>
      <c r="B24" t="s">
        <v>242</v>
      </c>
      <c r="C24" t="str">
        <f t="shared" si="0"/>
        <v>STUCK_ON_PU_BITS_Chassis_Engine_Restart_Button</v>
      </c>
      <c r="D24" t="s">
        <v>243</v>
      </c>
      <c r="E24" s="26">
        <f t="shared" si="1"/>
        <v>54</v>
      </c>
      <c r="F24" t="s">
        <v>231</v>
      </c>
      <c r="G24" t="s">
        <v>200</v>
      </c>
      <c r="H24" t="str">
        <f t="shared" si="2"/>
        <v>STUCK_ON_PU_BITS_Chassis_Engine_Restart_Button(Bit_Input:=GVL_Alarms.STUCK_ON_PU.BITS.Chassis_Engine_Restart_Button,ID:=306,Add_Info:='');</v>
      </c>
      <c r="I24" t="str">
        <f t="shared" si="3"/>
        <v>STUCK_ON_PU_BITS_Chassis_Engine_Restart_Button: MGSE_AlarmBit;</v>
      </c>
    </row>
    <row r="25" spans="1:9" x14ac:dyDescent="0.25">
      <c r="A25">
        <v>307</v>
      </c>
      <c r="B25" t="s">
        <v>244</v>
      </c>
      <c r="C25" t="str">
        <f t="shared" si="0"/>
        <v>STUCK_ON_PU_BITS_Chassis_DC_Pump_Button</v>
      </c>
      <c r="D25" t="s">
        <v>245</v>
      </c>
      <c r="E25" s="26">
        <f t="shared" si="1"/>
        <v>47</v>
      </c>
      <c r="F25" t="s">
        <v>231</v>
      </c>
      <c r="G25" t="s">
        <v>200</v>
      </c>
      <c r="H25" t="str">
        <f t="shared" si="2"/>
        <v>STUCK_ON_PU_BITS_Chassis_DC_Pump_Button(Bit_Input:=GVL_Alarms.STUCK_ON_PU.BITS.Chassis_DC_Pump_Button,ID:=307,Add_Info:='');</v>
      </c>
      <c r="I25" t="str">
        <f t="shared" si="3"/>
        <v>STUCK_ON_PU_BITS_Chassis_DC_Pump_Button: MGSE_AlarmBit;</v>
      </c>
    </row>
    <row r="26" spans="1:9" x14ac:dyDescent="0.25">
      <c r="A26">
        <v>308</v>
      </c>
      <c r="B26" t="s">
        <v>246</v>
      </c>
      <c r="C26" t="str">
        <f t="shared" si="0"/>
        <v>STUCK_ON_PU_BITS_Chassis_Platform_Tilt_Left_Button</v>
      </c>
      <c r="D26" t="s">
        <v>247</v>
      </c>
      <c r="E26" s="26">
        <f t="shared" si="1"/>
        <v>58</v>
      </c>
      <c r="F26" t="s">
        <v>231</v>
      </c>
      <c r="G26" t="s">
        <v>200</v>
      </c>
      <c r="H26" t="str">
        <f t="shared" si="2"/>
        <v>STUCK_ON_PU_BITS_Chassis_Platform_Tilt_Left_Button(Bit_Input:=GVL_Alarms.STUCK_ON_PU.BITS.Chassis_Platform_Tilt_Left_Button,ID:=308,Add_Info:='');</v>
      </c>
      <c r="I26" t="str">
        <f t="shared" si="3"/>
        <v>STUCK_ON_PU_BITS_Chassis_Platform_Tilt_Left_Button: MGSE_AlarmBit;</v>
      </c>
    </row>
    <row r="27" spans="1:9" x14ac:dyDescent="0.25">
      <c r="A27">
        <v>309</v>
      </c>
      <c r="B27" t="s">
        <v>248</v>
      </c>
      <c r="C27" t="str">
        <f t="shared" si="0"/>
        <v>STUCK_ON_PU_BITS_Chassis_Platform_Tilt_Right_Button</v>
      </c>
      <c r="D27" t="s">
        <v>249</v>
      </c>
      <c r="E27" s="26">
        <f t="shared" si="1"/>
        <v>59</v>
      </c>
      <c r="F27" t="s">
        <v>231</v>
      </c>
      <c r="G27" t="s">
        <v>200</v>
      </c>
      <c r="H27" t="str">
        <f t="shared" si="2"/>
        <v>STUCK_ON_PU_BITS_Chassis_Platform_Tilt_Right_Button(Bit_Input:=GVL_Alarms.STUCK_ON_PU.BITS.Chassis_Platform_Tilt_Right_Button,ID:=309,Add_Info:='');</v>
      </c>
      <c r="I27" t="str">
        <f t="shared" si="3"/>
        <v>STUCK_ON_PU_BITS_Chassis_Platform_Tilt_Right_Button: MGSE_AlarmBit;</v>
      </c>
    </row>
    <row r="28" spans="1:9" x14ac:dyDescent="0.25">
      <c r="A28">
        <v>310</v>
      </c>
      <c r="B28" t="s">
        <v>250</v>
      </c>
      <c r="C28" t="str">
        <f t="shared" si="0"/>
        <v>STUCK_ON_PU_BITS_Cabin_Deadman_Button</v>
      </c>
      <c r="D28" t="s">
        <v>251</v>
      </c>
      <c r="E28" s="26">
        <f t="shared" si="1"/>
        <v>45</v>
      </c>
      <c r="F28" t="s">
        <v>231</v>
      </c>
      <c r="G28" t="s">
        <v>200</v>
      </c>
      <c r="H28" t="str">
        <f t="shared" si="2"/>
        <v>STUCK_ON_PU_BITS_Cabin_Deadman_Button(Bit_Input:=GVL_Alarms.STUCK_ON_PU.BITS.Cabin_Deadman_Button,ID:=310,Add_Info:='');</v>
      </c>
      <c r="I28" t="str">
        <f t="shared" si="3"/>
        <v>STUCK_ON_PU_BITS_Cabin_Deadman_Button: MGSE_AlarmBit;</v>
      </c>
    </row>
    <row r="29" spans="1:9" x14ac:dyDescent="0.25">
      <c r="A29">
        <v>311</v>
      </c>
      <c r="B29" t="s">
        <v>252</v>
      </c>
      <c r="C29" t="str">
        <f t="shared" si="0"/>
        <v>STUCK_ON_PU_BITS_Rear_Door_Raise_Button</v>
      </c>
      <c r="D29" t="s">
        <v>253</v>
      </c>
      <c r="E29" s="26">
        <f t="shared" si="1"/>
        <v>47</v>
      </c>
      <c r="F29" t="s">
        <v>231</v>
      </c>
      <c r="G29" t="s">
        <v>200</v>
      </c>
      <c r="H29" t="str">
        <f t="shared" si="2"/>
        <v>STUCK_ON_PU_BITS_Rear_Door_Raise_Button(Bit_Input:=GVL_Alarms.STUCK_ON_PU.BITS.Rear_Door_Raise_Button,ID:=311,Add_Info:='');</v>
      </c>
      <c r="I29" t="str">
        <f t="shared" si="3"/>
        <v>STUCK_ON_PU_BITS_Rear_Door_Raise_Button: MGSE_AlarmBit;</v>
      </c>
    </row>
    <row r="30" spans="1:9" x14ac:dyDescent="0.25">
      <c r="A30">
        <v>312</v>
      </c>
      <c r="B30" t="s">
        <v>254</v>
      </c>
      <c r="C30" t="str">
        <f t="shared" si="0"/>
        <v>STUCK_ON_PU_BITS_Rear_Door_Lower_Button</v>
      </c>
      <c r="D30" t="s">
        <v>255</v>
      </c>
      <c r="E30" s="26">
        <f t="shared" si="1"/>
        <v>47</v>
      </c>
      <c r="F30" t="s">
        <v>231</v>
      </c>
      <c r="G30" t="s">
        <v>200</v>
      </c>
      <c r="H30" t="str">
        <f t="shared" si="2"/>
        <v>STUCK_ON_PU_BITS_Rear_Door_Lower_Button(Bit_Input:=GVL_Alarms.STUCK_ON_PU.BITS.Rear_Door_Lower_Button,ID:=312,Add_Info:='');</v>
      </c>
      <c r="I30" t="str">
        <f t="shared" si="3"/>
        <v>STUCK_ON_PU_BITS_Rear_Door_Lower_Button: MGSE_AlarmBit;</v>
      </c>
    </row>
    <row r="31" spans="1:9" x14ac:dyDescent="0.25">
      <c r="A31">
        <v>313</v>
      </c>
      <c r="B31" t="s">
        <v>256</v>
      </c>
      <c r="C31" t="str">
        <f t="shared" si="0"/>
        <v>STUCK_ON_PU_BITS_Front_Door_Raise_Button</v>
      </c>
      <c r="D31" t="s">
        <v>257</v>
      </c>
      <c r="E31" s="26">
        <f t="shared" si="1"/>
        <v>48</v>
      </c>
      <c r="F31" t="s">
        <v>231</v>
      </c>
      <c r="G31" t="s">
        <v>200</v>
      </c>
      <c r="H31" t="str">
        <f t="shared" si="2"/>
        <v>STUCK_ON_PU_BITS_Front_Door_Raise_Button(Bit_Input:=GVL_Alarms.STUCK_ON_PU.BITS.Front_Door_Raise_Button,ID:=313,Add_Info:='');</v>
      </c>
      <c r="I31" t="str">
        <f t="shared" si="3"/>
        <v>STUCK_ON_PU_BITS_Front_Door_Raise_Button: MGSE_AlarmBit;</v>
      </c>
    </row>
    <row r="32" spans="1:9" x14ac:dyDescent="0.25">
      <c r="A32">
        <v>314</v>
      </c>
      <c r="B32" t="s">
        <v>258</v>
      </c>
      <c r="C32" t="str">
        <f t="shared" si="0"/>
        <v>STUCK_ON_PU_BITS_Front_Door_Lower_Button</v>
      </c>
      <c r="D32" t="s">
        <v>259</v>
      </c>
      <c r="E32" s="26">
        <f t="shared" si="1"/>
        <v>48</v>
      </c>
      <c r="F32" t="s">
        <v>231</v>
      </c>
      <c r="G32" t="s">
        <v>200</v>
      </c>
      <c r="H32" t="str">
        <f t="shared" si="2"/>
        <v>STUCK_ON_PU_BITS_Front_Door_Lower_Button(Bit_Input:=GVL_Alarms.STUCK_ON_PU.BITS.Front_Door_Lower_Button,ID:=314,Add_Info:='');</v>
      </c>
      <c r="I32" t="str">
        <f t="shared" si="3"/>
        <v>STUCK_ON_PU_BITS_Front_Door_Lower_Button: MGSE_AlarmBit;</v>
      </c>
    </row>
    <row r="33" spans="1:9" x14ac:dyDescent="0.25">
      <c r="A33">
        <v>315</v>
      </c>
      <c r="B33" t="s">
        <v>260</v>
      </c>
      <c r="C33" t="str">
        <f t="shared" si="0"/>
        <v>STUCK_ON_PU_BITS_Platform_Extend_Button</v>
      </c>
      <c r="D33" t="s">
        <v>261</v>
      </c>
      <c r="E33" s="26">
        <f t="shared" si="1"/>
        <v>47</v>
      </c>
      <c r="F33" t="s">
        <v>231</v>
      </c>
      <c r="G33" t="s">
        <v>200</v>
      </c>
      <c r="H33" t="str">
        <f t="shared" si="2"/>
        <v>STUCK_ON_PU_BITS_Platform_Extend_Button(Bit_Input:=GVL_Alarms.STUCK_ON_PU.BITS.Platform_Extend_Button,ID:=315,Add_Info:='');</v>
      </c>
      <c r="I33" t="str">
        <f t="shared" si="3"/>
        <v>STUCK_ON_PU_BITS_Platform_Extend_Button: MGSE_AlarmBit;</v>
      </c>
    </row>
    <row r="34" spans="1:9" x14ac:dyDescent="0.25">
      <c r="A34">
        <v>316</v>
      </c>
      <c r="B34" t="s">
        <v>262</v>
      </c>
      <c r="C34" t="str">
        <f t="shared" si="0"/>
        <v>STUCK_ON_PU_BITS_Platform_Retract_Button</v>
      </c>
      <c r="D34" t="s">
        <v>263</v>
      </c>
      <c r="E34" s="26">
        <f t="shared" si="1"/>
        <v>48</v>
      </c>
      <c r="F34" t="s">
        <v>231</v>
      </c>
      <c r="G34" t="s">
        <v>200</v>
      </c>
      <c r="H34" t="str">
        <f t="shared" si="2"/>
        <v>STUCK_ON_PU_BITS_Platform_Retract_Button(Bit_Input:=GVL_Alarms.STUCK_ON_PU.BITS.Platform_Retract_Button,ID:=316,Add_Info:='');</v>
      </c>
      <c r="I34" t="str">
        <f t="shared" si="3"/>
        <v>STUCK_ON_PU_BITS_Platform_Retract_Button: MGSE_AlarmBit;</v>
      </c>
    </row>
    <row r="35" spans="1:9" x14ac:dyDescent="0.25">
      <c r="A35">
        <v>317</v>
      </c>
      <c r="B35" t="s">
        <v>264</v>
      </c>
      <c r="C35" t="str">
        <f t="shared" si="0"/>
        <v>STUCK_ON_PU_BITS_Platform_Engine_Restart_Button</v>
      </c>
      <c r="D35" t="s">
        <v>265</v>
      </c>
      <c r="E35" s="26">
        <f t="shared" si="1"/>
        <v>55</v>
      </c>
      <c r="F35" t="s">
        <v>231</v>
      </c>
      <c r="G35" t="s">
        <v>200</v>
      </c>
      <c r="H35" t="str">
        <f t="shared" si="2"/>
        <v>STUCK_ON_PU_BITS_Platform_Engine_Restart_Button(Bit_Input:=GVL_Alarms.STUCK_ON_PU.BITS.Platform_Engine_Restart_Button,ID:=317,Add_Info:='');</v>
      </c>
      <c r="I35" t="str">
        <f t="shared" si="3"/>
        <v>STUCK_ON_PU_BITS_Platform_Engine_Restart_Button: MGSE_AlarmBit;</v>
      </c>
    </row>
    <row r="36" spans="1:9" x14ac:dyDescent="0.25">
      <c r="A36">
        <v>318</v>
      </c>
      <c r="B36" t="s">
        <v>266</v>
      </c>
      <c r="C36" t="str">
        <f t="shared" si="0"/>
        <v>STUCK_ON_PU_BITS_Cabin_Local_Raise_Button</v>
      </c>
      <c r="D36" t="s">
        <v>267</v>
      </c>
      <c r="E36" s="26">
        <f t="shared" si="1"/>
        <v>49</v>
      </c>
      <c r="F36" t="s">
        <v>231</v>
      </c>
      <c r="G36" t="s">
        <v>200</v>
      </c>
      <c r="H36" t="str">
        <f t="shared" si="2"/>
        <v>STUCK_ON_PU_BITS_Cabin_Local_Raise_Button(Bit_Input:=GVL_Alarms.STUCK_ON_PU.BITS.Cabin_Local_Raise_Button,ID:=318,Add_Info:='');</v>
      </c>
      <c r="I36" t="str">
        <f t="shared" si="3"/>
        <v>STUCK_ON_PU_BITS_Cabin_Local_Raise_Button: MGSE_AlarmBit;</v>
      </c>
    </row>
    <row r="37" spans="1:9" x14ac:dyDescent="0.25">
      <c r="A37">
        <v>319</v>
      </c>
      <c r="B37" t="s">
        <v>268</v>
      </c>
      <c r="C37" t="str">
        <f t="shared" si="0"/>
        <v>STUCK_ON_PU_BITS_Cabin_Local_Lower_Button</v>
      </c>
      <c r="D37" t="s">
        <v>269</v>
      </c>
      <c r="E37" s="26">
        <f t="shared" si="1"/>
        <v>49</v>
      </c>
      <c r="F37" t="s">
        <v>231</v>
      </c>
      <c r="G37" t="s">
        <v>200</v>
      </c>
      <c r="H37" t="str">
        <f t="shared" si="2"/>
        <v>STUCK_ON_PU_BITS_Cabin_Local_Lower_Button(Bit_Input:=GVL_Alarms.STUCK_ON_PU.BITS.Cabin_Local_Lower_Button,ID:=319,Add_Info:='');</v>
      </c>
      <c r="I37" t="str">
        <f t="shared" si="3"/>
        <v>STUCK_ON_PU_BITS_Cabin_Local_Lower_Button: MGSE_AlarmBit;</v>
      </c>
    </row>
    <row r="38" spans="1:9" x14ac:dyDescent="0.25">
      <c r="A38">
        <v>320</v>
      </c>
      <c r="B38" t="s">
        <v>270</v>
      </c>
      <c r="C38" t="str">
        <f t="shared" si="0"/>
        <v>STUCK_ON_PU_BITS_Platform_Jacklegs_Lower_Button</v>
      </c>
      <c r="D38" t="s">
        <v>271</v>
      </c>
      <c r="E38" s="26">
        <f t="shared" si="1"/>
        <v>55</v>
      </c>
      <c r="F38" t="s">
        <v>231</v>
      </c>
      <c r="G38" t="s">
        <v>200</v>
      </c>
      <c r="H38" t="str">
        <f t="shared" si="2"/>
        <v>STUCK_ON_PU_BITS_Platform_Jacklegs_Lower_Button(Bit_Input:=GVL_Alarms.STUCK_ON_PU.BITS.Platform_Jacklegs_Lower_Button,ID:=320,Add_Info:='');</v>
      </c>
      <c r="I38" t="str">
        <f t="shared" si="3"/>
        <v>STUCK_ON_PU_BITS_Platform_Jacklegs_Lower_Button: MGSE_AlarmBit;</v>
      </c>
    </row>
    <row r="39" spans="1:9" x14ac:dyDescent="0.25">
      <c r="A39">
        <v>321</v>
      </c>
      <c r="B39" t="s">
        <v>272</v>
      </c>
      <c r="C39" t="str">
        <f t="shared" si="0"/>
        <v>STUCK_ON_PU_BITS_Bellows_Extend_Button</v>
      </c>
      <c r="D39" t="s">
        <v>273</v>
      </c>
      <c r="E39" s="26">
        <f t="shared" si="1"/>
        <v>46</v>
      </c>
      <c r="F39" t="s">
        <v>231</v>
      </c>
      <c r="G39" t="s">
        <v>200</v>
      </c>
      <c r="H39" t="str">
        <f t="shared" si="2"/>
        <v>STUCK_ON_PU_BITS_Bellows_Extend_Button(Bit_Input:=GVL_Alarms.STUCK_ON_PU.BITS.Bellows_Extend_Button,ID:=321,Add_Info:='');</v>
      </c>
      <c r="I39" t="str">
        <f t="shared" si="3"/>
        <v>STUCK_ON_PU_BITS_Bellows_Extend_Button: MGSE_AlarmBit;</v>
      </c>
    </row>
    <row r="40" spans="1:9" x14ac:dyDescent="0.25">
      <c r="A40">
        <v>322</v>
      </c>
      <c r="B40" t="s">
        <v>274</v>
      </c>
      <c r="C40" t="str">
        <f t="shared" si="0"/>
        <v>STUCK_ON_PU_BITS_Bellows_Retract_Button</v>
      </c>
      <c r="D40" t="s">
        <v>275</v>
      </c>
      <c r="E40" s="26">
        <f t="shared" si="1"/>
        <v>47</v>
      </c>
      <c r="F40" t="s">
        <v>231</v>
      </c>
      <c r="G40" t="s">
        <v>200</v>
      </c>
      <c r="H40" t="str">
        <f t="shared" si="2"/>
        <v>STUCK_ON_PU_BITS_Bellows_Retract_Button(Bit_Input:=GVL_Alarms.STUCK_ON_PU.BITS.Bellows_Retract_Button,ID:=322,Add_Info:='');</v>
      </c>
      <c r="I40" t="str">
        <f t="shared" si="3"/>
        <v>STUCK_ON_PU_BITS_Bellows_Retract_Button: MGSE_AlarmBit;</v>
      </c>
    </row>
    <row r="41" spans="1:9" x14ac:dyDescent="0.25">
      <c r="A41">
        <v>323</v>
      </c>
      <c r="B41" t="s">
        <v>276</v>
      </c>
      <c r="C41" t="str">
        <f t="shared" si="0"/>
        <v>STUCK_ON_PU_BITS_Platform_Deadman_Button</v>
      </c>
      <c r="D41" t="s">
        <v>277</v>
      </c>
      <c r="E41" s="26">
        <f t="shared" si="1"/>
        <v>48</v>
      </c>
      <c r="F41" t="s">
        <v>231</v>
      </c>
      <c r="G41" t="s">
        <v>200</v>
      </c>
      <c r="H41" t="str">
        <f t="shared" si="2"/>
        <v>STUCK_ON_PU_BITS_Platform_Deadman_Button(Bit_Input:=GVL_Alarms.STUCK_ON_PU.BITS.Platform_Deadman_Button,ID:=323,Add_Info:='');</v>
      </c>
      <c r="I41" t="str">
        <f t="shared" si="3"/>
        <v>STUCK_ON_PU_BITS_Platform_Deadman_Button: MGSE_AlarmBit;</v>
      </c>
    </row>
    <row r="42" spans="1:9" x14ac:dyDescent="0.25">
      <c r="A42">
        <v>324</v>
      </c>
      <c r="B42" t="s">
        <v>278</v>
      </c>
      <c r="C42" t="str">
        <f t="shared" si="0"/>
        <v>STUCK_ON_PU_BITS_Platform_DC_Pump_Button</v>
      </c>
      <c r="D42" t="s">
        <v>279</v>
      </c>
      <c r="E42" s="26">
        <f t="shared" si="1"/>
        <v>48</v>
      </c>
      <c r="F42" t="s">
        <v>231</v>
      </c>
      <c r="G42" t="s">
        <v>200</v>
      </c>
      <c r="H42" t="str">
        <f t="shared" si="2"/>
        <v>STUCK_ON_PU_BITS_Platform_DC_Pump_Button(Bit_Input:=GVL_Alarms.STUCK_ON_PU.BITS.Platform_DC_Pump_Button,ID:=324,Add_Info:='');</v>
      </c>
      <c r="I42" t="str">
        <f t="shared" si="3"/>
        <v>STUCK_ON_PU_BITS_Platform_DC_Pump_Button: MGSE_AlarmBit;</v>
      </c>
    </row>
    <row r="43" spans="1:9" x14ac:dyDescent="0.25">
      <c r="A43">
        <v>325</v>
      </c>
      <c r="B43" t="s">
        <v>280</v>
      </c>
      <c r="C43" t="str">
        <f t="shared" si="0"/>
        <v>STUCK_ON_PU_BITS_Rear_Deadman_Button</v>
      </c>
      <c r="D43" t="s">
        <v>281</v>
      </c>
      <c r="E43" s="26">
        <f t="shared" si="1"/>
        <v>44</v>
      </c>
      <c r="F43" t="s">
        <v>231</v>
      </c>
      <c r="G43" t="s">
        <v>200</v>
      </c>
      <c r="H43" t="str">
        <f t="shared" si="2"/>
        <v>STUCK_ON_PU_BITS_Rear_Deadman_Button(Bit_Input:=GVL_Alarms.STUCK_ON_PU.BITS.Rear_Deadman_Button,ID:=325,Add_Info:='');</v>
      </c>
      <c r="I43" t="str">
        <f t="shared" si="3"/>
        <v>STUCK_ON_PU_BITS_Rear_Deadman_Button: MGSE_AlarmBit;</v>
      </c>
    </row>
    <row r="44" spans="1:9" x14ac:dyDescent="0.25">
      <c r="A44">
        <v>326</v>
      </c>
      <c r="B44" t="s">
        <v>282</v>
      </c>
      <c r="C44" t="str">
        <f t="shared" si="0"/>
        <v>ETHERNET_DICP_PLC_ERROR_LT</v>
      </c>
      <c r="D44" t="s">
        <v>283</v>
      </c>
      <c r="E44" s="26">
        <f t="shared" si="1"/>
        <v>26</v>
      </c>
      <c r="F44" t="s">
        <v>231</v>
      </c>
      <c r="G44" t="s">
        <v>200</v>
      </c>
      <c r="H44" t="str">
        <f t="shared" si="2"/>
        <v>ETHERNET_DICP_PLC_ERROR_LT(Bit_Input:=GVL_Alarms.ETHERNET_DICP_PLC_ERROR_LT,ID:=326,Add_Info:='');</v>
      </c>
      <c r="I44" t="str">
        <f t="shared" si="3"/>
        <v>ETHERNET_DICP_PLC_ERROR_LT: MGSE_AlarmBit;</v>
      </c>
    </row>
    <row r="45" spans="1:9" x14ac:dyDescent="0.25">
      <c r="A45">
        <v>327</v>
      </c>
      <c r="B45" t="s">
        <v>284</v>
      </c>
      <c r="C45" t="str">
        <f t="shared" si="0"/>
        <v>ETHERNET_CABIN_PLC_ERROR_LT</v>
      </c>
      <c r="D45" t="s">
        <v>285</v>
      </c>
      <c r="E45" s="26">
        <f t="shared" si="1"/>
        <v>27</v>
      </c>
      <c r="F45" t="s">
        <v>231</v>
      </c>
      <c r="G45" t="s">
        <v>200</v>
      </c>
      <c r="H45" t="str">
        <f t="shared" si="2"/>
        <v>ETHERNET_CABIN_PLC_ERROR_LT(Bit_Input:=GVL_Alarms.ETHERNET_CABIN_PLC_ERROR_LT,ID:=327,Add_Info:='');</v>
      </c>
      <c r="I45" t="str">
        <f t="shared" si="3"/>
        <v>ETHERNET_CABIN_PLC_ERROR_LT: MGSE_AlarmBit;</v>
      </c>
    </row>
    <row r="46" spans="1:9" x14ac:dyDescent="0.25">
      <c r="A46">
        <v>328</v>
      </c>
      <c r="B46" t="s">
        <v>286</v>
      </c>
      <c r="C46" t="str">
        <f t="shared" si="0"/>
        <v>ETHERNET_CHASSIS_PLC_ERROR_LT</v>
      </c>
      <c r="D46" t="s">
        <v>287</v>
      </c>
      <c r="E46" s="26">
        <f t="shared" si="1"/>
        <v>29</v>
      </c>
      <c r="F46" t="s">
        <v>231</v>
      </c>
      <c r="G46" t="s">
        <v>200</v>
      </c>
      <c r="H46" t="str">
        <f t="shared" si="2"/>
        <v>ETHERNET_CHASSIS_PLC_ERROR_LT(Bit_Input:=GVL_Alarms.ETHERNET_CHASSIS_PLC_ERROR_LT,ID:=328,Add_Info:='');</v>
      </c>
      <c r="I46" t="str">
        <f t="shared" si="3"/>
        <v>ETHERNET_CHASSIS_PLC_ERROR_LT: MGSE_AlarmBit;</v>
      </c>
    </row>
    <row r="47" spans="1:9" x14ac:dyDescent="0.25">
      <c r="A47">
        <v>329</v>
      </c>
      <c r="B47" t="s">
        <v>324</v>
      </c>
      <c r="C47" t="str">
        <f t="shared" si="0"/>
        <v>ETHERNET_DICP_PLC_ERROR_DIFF</v>
      </c>
      <c r="D47" t="s">
        <v>334</v>
      </c>
      <c r="E47" s="26">
        <f t="shared" si="1"/>
        <v>28</v>
      </c>
      <c r="F47" t="s">
        <v>231</v>
      </c>
      <c r="G47" t="s">
        <v>200</v>
      </c>
      <c r="H47" t="str">
        <f t="shared" si="2"/>
        <v>ETHERNET_DICP_PLC_ERROR_DIFF(Bit_Input:=GVL_Alarms.ETHERNET_DICP_PLC_ERROR_DIFF,ID:=329,Add_Info:='');</v>
      </c>
      <c r="I47" t="str">
        <f t="shared" si="3"/>
        <v>ETHERNET_DICP_PLC_ERROR_DIFF: MGSE_AlarmBit;</v>
      </c>
    </row>
    <row r="48" spans="1:9" x14ac:dyDescent="0.25">
      <c r="A48">
        <v>330</v>
      </c>
      <c r="B48" t="s">
        <v>325</v>
      </c>
      <c r="C48" t="str">
        <f t="shared" si="0"/>
        <v>ETHERNET_CABIN_PLC_ERROR_DIFF</v>
      </c>
      <c r="D48" t="s">
        <v>333</v>
      </c>
      <c r="E48" s="26">
        <f t="shared" si="1"/>
        <v>29</v>
      </c>
      <c r="F48" t="s">
        <v>231</v>
      </c>
      <c r="G48" t="s">
        <v>200</v>
      </c>
      <c r="H48" t="str">
        <f t="shared" si="2"/>
        <v>ETHERNET_CABIN_PLC_ERROR_DIFF(Bit_Input:=GVL_Alarms.ETHERNET_CABIN_PLC_ERROR_DIFF,ID:=330,Add_Info:='');</v>
      </c>
      <c r="I48" t="str">
        <f t="shared" si="3"/>
        <v>ETHERNET_CABIN_PLC_ERROR_DIFF: MGSE_AlarmBit;</v>
      </c>
    </row>
    <row r="49" spans="1:9" x14ac:dyDescent="0.25">
      <c r="A49">
        <v>331</v>
      </c>
      <c r="B49" t="s">
        <v>326</v>
      </c>
      <c r="C49" t="str">
        <f t="shared" si="0"/>
        <v>ETHERNET_CHASSIS_PLC_ERROR_DIFF</v>
      </c>
      <c r="D49" t="s">
        <v>332</v>
      </c>
      <c r="E49" s="26">
        <f t="shared" si="1"/>
        <v>31</v>
      </c>
      <c r="F49" t="s">
        <v>231</v>
      </c>
      <c r="G49" t="s">
        <v>200</v>
      </c>
      <c r="H49" t="str">
        <f t="shared" si="2"/>
        <v>ETHERNET_CHASSIS_PLC_ERROR_DIFF(Bit_Input:=GVL_Alarms.ETHERNET_CHASSIS_PLC_ERROR_DIFF,ID:=331,Add_Info:='');</v>
      </c>
      <c r="I49" t="str">
        <f t="shared" si="3"/>
        <v>ETHERNET_CHASSIS_PLC_ERROR_DIFF: MGSE_AlarmBit;</v>
      </c>
    </row>
    <row r="50" spans="1:9" x14ac:dyDescent="0.25">
      <c r="A50">
        <v>332</v>
      </c>
      <c r="B50" t="s">
        <v>327</v>
      </c>
      <c r="C50" t="str">
        <f t="shared" si="0"/>
        <v>ETHERNET_DICP_PLC_ERROR_FROZEN</v>
      </c>
      <c r="D50" t="s">
        <v>331</v>
      </c>
      <c r="E50" s="26">
        <f t="shared" si="1"/>
        <v>30</v>
      </c>
      <c r="F50" t="s">
        <v>231</v>
      </c>
      <c r="G50" t="s">
        <v>200</v>
      </c>
      <c r="H50" t="str">
        <f t="shared" si="2"/>
        <v>ETHERNET_DICP_PLC_ERROR_FROZEN(Bit_Input:=GVL_Alarms.ETHERNET_DICP_PLC_ERROR_FROZEN,ID:=332,Add_Info:='');</v>
      </c>
      <c r="I50" t="str">
        <f t="shared" si="3"/>
        <v>ETHERNET_DICP_PLC_ERROR_FROZEN: MGSE_AlarmBit;</v>
      </c>
    </row>
    <row r="51" spans="1:9" x14ac:dyDescent="0.25">
      <c r="A51">
        <v>333</v>
      </c>
      <c r="B51" t="s">
        <v>328</v>
      </c>
      <c r="C51" t="str">
        <f t="shared" si="0"/>
        <v>ETHERNET_CABIN_PLC_ERROR_FROZEN</v>
      </c>
      <c r="D51" t="s">
        <v>330</v>
      </c>
      <c r="E51" s="26">
        <f t="shared" si="1"/>
        <v>31</v>
      </c>
      <c r="F51" t="s">
        <v>231</v>
      </c>
      <c r="G51" t="s">
        <v>200</v>
      </c>
      <c r="H51" t="str">
        <f t="shared" si="2"/>
        <v>ETHERNET_CABIN_PLC_ERROR_FROZEN(Bit_Input:=GVL_Alarms.ETHERNET_CABIN_PLC_ERROR_FROZEN,ID:=333,Add_Info:='');</v>
      </c>
      <c r="I51" t="str">
        <f t="shared" si="3"/>
        <v>ETHERNET_CABIN_PLC_ERROR_FROZEN: MGSE_AlarmBit;</v>
      </c>
    </row>
    <row r="52" spans="1:9" x14ac:dyDescent="0.25">
      <c r="A52">
        <v>334</v>
      </c>
      <c r="B52" t="s">
        <v>341</v>
      </c>
      <c r="C52" t="str">
        <f t="shared" si="0"/>
        <v>ETHERNET_CHASSIS_PLC_ERROR_FROZEN</v>
      </c>
      <c r="D52" t="s">
        <v>329</v>
      </c>
      <c r="E52" s="26">
        <f t="shared" si="1"/>
        <v>33</v>
      </c>
      <c r="F52" t="s">
        <v>231</v>
      </c>
      <c r="G52" t="s">
        <v>200</v>
      </c>
      <c r="H52" t="str">
        <f t="shared" si="2"/>
        <v>ETHERNET_CHASSIS_PLC_ERROR_FROZEN(Bit_Input:=GVL_Alarms.ETHERNET_CHASSIS_PLC_ERROR_FROZEN,ID:=334,Add_Info:='');</v>
      </c>
      <c r="I52" t="str">
        <f t="shared" si="3"/>
        <v>ETHERNET_CHASSIS_PLC_ERROR_FROZEN: MGSE_AlarmBit;</v>
      </c>
    </row>
    <row r="53" spans="1:9" x14ac:dyDescent="0.25">
      <c r="A53">
        <v>500</v>
      </c>
      <c r="B53" t="s">
        <v>342</v>
      </c>
      <c r="C53" t="str">
        <f t="shared" si="0"/>
        <v>ETHERNET_DICP_PLC_WARNING_DIFF</v>
      </c>
      <c r="D53" t="s">
        <v>335</v>
      </c>
      <c r="E53" s="26">
        <f t="shared" si="1"/>
        <v>30</v>
      </c>
      <c r="F53" t="s">
        <v>288</v>
      </c>
      <c r="G53" t="s">
        <v>289</v>
      </c>
      <c r="H53" t="str">
        <f t="shared" si="2"/>
        <v>ETHERNET_DICP_PLC_WARNING_DIFF(Bit_Input:=GVL_Alarms.ETHERNET_DICP_PLC_WARNING_DIFF,ID:=500,Add_Info:='');</v>
      </c>
      <c r="I53" t="str">
        <f t="shared" si="3"/>
        <v>ETHERNET_DICP_PLC_WARNING_DIFF: MGSE_AlarmBit;</v>
      </c>
    </row>
    <row r="54" spans="1:9" x14ac:dyDescent="0.25">
      <c r="A54">
        <v>501</v>
      </c>
      <c r="B54" t="s">
        <v>343</v>
      </c>
      <c r="C54" t="str">
        <f t="shared" si="0"/>
        <v>ETHERNET_CABIN_PLC_WARNING_DIFF</v>
      </c>
      <c r="D54" t="s">
        <v>336</v>
      </c>
      <c r="E54" s="26">
        <f t="shared" si="1"/>
        <v>31</v>
      </c>
      <c r="F54" t="s">
        <v>288</v>
      </c>
      <c r="G54" t="s">
        <v>289</v>
      </c>
      <c r="H54" t="str">
        <f t="shared" si="2"/>
        <v>ETHERNET_CABIN_PLC_WARNING_DIFF(Bit_Input:=GVL_Alarms.ETHERNET_CABIN_PLC_WARNING_DIFF,ID:=501,Add_Info:='');</v>
      </c>
      <c r="I54" t="str">
        <f t="shared" si="3"/>
        <v>ETHERNET_CABIN_PLC_WARNING_DIFF: MGSE_AlarmBit;</v>
      </c>
    </row>
    <row r="55" spans="1:9" x14ac:dyDescent="0.25">
      <c r="A55">
        <v>502</v>
      </c>
      <c r="B55" t="s">
        <v>344</v>
      </c>
      <c r="C55" t="str">
        <f t="shared" si="0"/>
        <v>ETHERNET_CHASSIS_PLC_WARNING_DIFF</v>
      </c>
      <c r="D55" t="s">
        <v>337</v>
      </c>
      <c r="E55" s="26">
        <f t="shared" si="1"/>
        <v>33</v>
      </c>
      <c r="F55" t="s">
        <v>288</v>
      </c>
      <c r="G55" t="s">
        <v>289</v>
      </c>
      <c r="H55" t="str">
        <f t="shared" si="2"/>
        <v>ETHERNET_CHASSIS_PLC_WARNING_DIFF(Bit_Input:=GVL_Alarms.ETHERNET_CHASSIS_PLC_WARNING_DIFF,ID:=502,Add_Info:='');</v>
      </c>
      <c r="I55" t="str">
        <f t="shared" si="3"/>
        <v>ETHERNET_CHASSIS_PLC_WARNING_DIFF: MGSE_AlarmBit;</v>
      </c>
    </row>
    <row r="56" spans="1:9" x14ac:dyDescent="0.25">
      <c r="A56">
        <v>503</v>
      </c>
      <c r="B56" t="s">
        <v>345</v>
      </c>
      <c r="C56" t="str">
        <f t="shared" si="0"/>
        <v>ETHERNET_DICP_PLC_WARNING_FROZEN</v>
      </c>
      <c r="D56" t="s">
        <v>338</v>
      </c>
      <c r="E56" s="26">
        <f t="shared" si="1"/>
        <v>32</v>
      </c>
      <c r="F56" t="s">
        <v>288</v>
      </c>
      <c r="G56" t="s">
        <v>289</v>
      </c>
      <c r="H56" t="str">
        <f t="shared" si="2"/>
        <v>ETHERNET_DICP_PLC_WARNING_FROZEN(Bit_Input:=GVL_Alarms.ETHERNET_DICP_PLC_WARNING_FROZEN,ID:=503,Add_Info:='');</v>
      </c>
      <c r="I56" t="str">
        <f t="shared" si="3"/>
        <v>ETHERNET_DICP_PLC_WARNING_FROZEN: MGSE_AlarmBit;</v>
      </c>
    </row>
    <row r="57" spans="1:9" x14ac:dyDescent="0.25">
      <c r="A57">
        <v>504</v>
      </c>
      <c r="B57" t="s">
        <v>346</v>
      </c>
      <c r="C57" t="str">
        <f t="shared" si="0"/>
        <v>ETHERNET_CABIN_PLC_WARNING_FROZEN</v>
      </c>
      <c r="D57" t="s">
        <v>339</v>
      </c>
      <c r="E57" s="26">
        <f t="shared" si="1"/>
        <v>33</v>
      </c>
      <c r="F57" t="s">
        <v>288</v>
      </c>
      <c r="G57" t="s">
        <v>289</v>
      </c>
      <c r="H57" t="str">
        <f t="shared" si="2"/>
        <v>ETHERNET_CABIN_PLC_WARNING_FROZEN(Bit_Input:=GVL_Alarms.ETHERNET_CABIN_PLC_WARNING_FROZEN,ID:=504,Add_Info:='');</v>
      </c>
      <c r="I57" t="str">
        <f t="shared" si="3"/>
        <v>ETHERNET_CABIN_PLC_WARNING_FROZEN: MGSE_AlarmBit;</v>
      </c>
    </row>
    <row r="58" spans="1:9" x14ac:dyDescent="0.25">
      <c r="A58">
        <v>505</v>
      </c>
      <c r="B58" t="s">
        <v>347</v>
      </c>
      <c r="C58" t="str">
        <f t="shared" si="0"/>
        <v>ETHERNET_CHASSIS_PLC_WARNING_FROZEN</v>
      </c>
      <c r="D58" t="s">
        <v>340</v>
      </c>
      <c r="E58" s="26">
        <f t="shared" si="1"/>
        <v>35</v>
      </c>
      <c r="F58" t="s">
        <v>288</v>
      </c>
      <c r="G58" t="s">
        <v>289</v>
      </c>
      <c r="H58" t="str">
        <f t="shared" si="2"/>
        <v>ETHERNET_CHASSIS_PLC_WARNING_FROZEN(Bit_Input:=GVL_Alarms.ETHERNET_CHASSIS_PLC_WARNING_FROZEN,ID:=505,Add_Info:='');</v>
      </c>
      <c r="I58" t="str">
        <f t="shared" si="3"/>
        <v>ETHERNET_CHASSIS_PLC_WARNING_FROZEN: MGSE_AlarmBit;</v>
      </c>
    </row>
    <row r="59" spans="1:9" x14ac:dyDescent="0.25">
      <c r="A59">
        <v>506</v>
      </c>
      <c r="B59" t="s">
        <v>290</v>
      </c>
      <c r="C59" t="str">
        <f t="shared" si="0"/>
        <v>Battery_Voltage_Warning</v>
      </c>
      <c r="D59" t="s">
        <v>291</v>
      </c>
      <c r="E59" s="26">
        <f t="shared" si="1"/>
        <v>23</v>
      </c>
      <c r="F59" t="s">
        <v>292</v>
      </c>
      <c r="G59" t="s">
        <v>289</v>
      </c>
      <c r="H59" t="str">
        <f t="shared" si="2"/>
        <v>Battery_Voltage_Warning(Bit_Input:=GVL_Alarms.Battery_Voltage_Warning,ID:=506,Add_Info:='');</v>
      </c>
      <c r="I59" t="str">
        <f t="shared" si="3"/>
        <v>Battery_Voltage_Warning: MGSE_AlarmBit;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17012-44D7-48B2-87FC-FA2A9133EF8D}">
  <dimension ref="A1:L65"/>
  <sheetViews>
    <sheetView workbookViewId="0">
      <selection activeCell="H1" sqref="H1"/>
    </sheetView>
  </sheetViews>
  <sheetFormatPr defaultRowHeight="15" x14ac:dyDescent="0.25"/>
  <cols>
    <col min="2" max="2" width="16.140625" customWidth="1"/>
    <col min="3" max="3" width="18" customWidth="1"/>
    <col min="4" max="4" width="12.85546875" style="26" bestFit="1" customWidth="1"/>
    <col min="5" max="5" width="15.140625" style="26" bestFit="1" customWidth="1"/>
    <col min="6" max="6" width="14.140625" style="26" bestFit="1" customWidth="1"/>
    <col min="7" max="7" width="42.5703125" bestFit="1" customWidth="1"/>
    <col min="8" max="8" width="53.85546875" customWidth="1"/>
    <col min="9" max="9" width="10" style="26" customWidth="1"/>
    <col min="10" max="10" width="62" bestFit="1" customWidth="1"/>
    <col min="11" max="11" width="235.85546875" customWidth="1"/>
    <col min="12" max="12" width="51.140625" bestFit="1" customWidth="1"/>
  </cols>
  <sheetData>
    <row r="1" spans="1:12" s="27" customFormat="1" ht="18.75" x14ac:dyDescent="0.3">
      <c r="B1" s="27" t="s">
        <v>0</v>
      </c>
      <c r="C1" s="27" t="s">
        <v>3</v>
      </c>
      <c r="D1" s="28" t="s">
        <v>293</v>
      </c>
      <c r="E1" s="28" t="s">
        <v>294</v>
      </c>
      <c r="F1" s="28" t="s">
        <v>295</v>
      </c>
      <c r="G1" s="27" t="s">
        <v>355</v>
      </c>
      <c r="I1" s="28"/>
      <c r="J1" s="27" t="s">
        <v>13</v>
      </c>
      <c r="K1" s="27" t="s">
        <v>348</v>
      </c>
      <c r="L1" s="27" t="s">
        <v>349</v>
      </c>
    </row>
    <row r="2" spans="1:12" x14ac:dyDescent="0.25">
      <c r="A2">
        <v>2000</v>
      </c>
      <c r="B2" t="s">
        <v>93</v>
      </c>
      <c r="C2" t="s">
        <v>443</v>
      </c>
      <c r="D2" s="26">
        <f t="shared" ref="D2:D28" si="0">IFERROR(FIND("IN",C2,1),"")</f>
        <v>9</v>
      </c>
      <c r="E2" s="26" t="str">
        <f t="shared" ref="E2:E28" si="1">IFERROR(FIND("OUT",C2,1),"")</f>
        <v/>
      </c>
      <c r="F2" s="26" t="str">
        <f t="shared" ref="F2:F28" si="2">IFERROR(FIND("GROUP",C2,1),"")</f>
        <v/>
      </c>
      <c r="G2" t="s">
        <v>356</v>
      </c>
      <c r="H2" t="str">
        <f t="shared" ref="H2:H25" si="3">_xlfn.CONCAT(G2," {",B2,".",C2,"}")</f>
        <v>ESTOP_OK {CHASSIS.CHASSIS.IN0100}</v>
      </c>
      <c r="I2" s="26">
        <f t="shared" ref="I2:I25" si="4">LEN(H2)</f>
        <v>33</v>
      </c>
      <c r="J2" t="s">
        <v>296</v>
      </c>
      <c r="K2" t="str">
        <f t="shared" ref="K2:K25" si="5">_xlfn.CONCAT(G2,"(Bit_Input:=",J2,".Alarm_Active",",ID:=",A2,",Description:='",H2,"',Add_Info:=",J2,".AlmLog.Buffer",");")</f>
        <v>ESTOP_OK(Bit_Input:=Machine_IO.CHASSIS_Inputs.EStop_Safety_Relay_Signal.Alarm_Active,ID:=2000,Description:='ESTOP_OK {CHASSIS.CHASSIS.IN0100}',Add_Info:=Machine_IO.CHASSIS_Inputs.EStop_Safety_Relay_Signal.AlmLog.Buffer);</v>
      </c>
      <c r="L2" t="str">
        <f t="shared" ref="L2:L25" si="6">_xlfn.CONCAT(G2,": MGSE_AlarmBit;")</f>
        <v>ESTOP_OK: MGSE_AlarmBit;</v>
      </c>
    </row>
    <row r="3" spans="1:12" x14ac:dyDescent="0.25">
      <c r="A3">
        <v>2001</v>
      </c>
      <c r="B3" t="s">
        <v>93</v>
      </c>
      <c r="C3" t="s">
        <v>444</v>
      </c>
      <c r="D3" s="26">
        <f t="shared" si="0"/>
        <v>9</v>
      </c>
      <c r="E3" s="26" t="str">
        <f t="shared" si="1"/>
        <v/>
      </c>
      <c r="F3" s="26" t="str">
        <f t="shared" si="2"/>
        <v/>
      </c>
      <c r="G3" t="s">
        <v>357</v>
      </c>
      <c r="H3" t="str">
        <f t="shared" si="3"/>
        <v>DRUM_PRESSURE {CHASSIS.CHASSIS.IN0101}</v>
      </c>
      <c r="I3" s="26">
        <f t="shared" si="4"/>
        <v>38</v>
      </c>
      <c r="J3" t="s">
        <v>297</v>
      </c>
      <c r="K3" t="str">
        <f t="shared" si="5"/>
        <v>DRUM_PRESSURE(Bit_Input:=Machine_IO.CHASSIS_Inputs.Chassis_Override_Switch.Alarm_Active,ID:=2001,Description:='DRUM_PRESSURE {CHASSIS.CHASSIS.IN0101}',Add_Info:=Machine_IO.CHASSIS_Inputs.Chassis_Override_Switch.AlmLog.Buffer);</v>
      </c>
      <c r="L3" t="str">
        <f t="shared" si="6"/>
        <v>DRUM_PRESSURE: MGSE_AlarmBit;</v>
      </c>
    </row>
    <row r="4" spans="1:12" x14ac:dyDescent="0.25">
      <c r="A4">
        <v>2002</v>
      </c>
      <c r="B4" t="s">
        <v>93</v>
      </c>
      <c r="C4" t="s">
        <v>445</v>
      </c>
      <c r="D4" s="26">
        <f t="shared" si="0"/>
        <v>9</v>
      </c>
      <c r="E4" s="26" t="str">
        <f t="shared" si="1"/>
        <v/>
      </c>
      <c r="F4" s="26" t="str">
        <f t="shared" si="2"/>
        <v/>
      </c>
      <c r="G4" t="s">
        <v>507</v>
      </c>
      <c r="H4" t="str">
        <f t="shared" si="3"/>
        <v>SPARE_IN0102 {CHASSIS.CHASSIS.IN0102}</v>
      </c>
      <c r="I4" s="26">
        <f t="shared" si="4"/>
        <v>37</v>
      </c>
      <c r="J4" t="s">
        <v>298</v>
      </c>
      <c r="K4" t="str">
        <f t="shared" si="5"/>
        <v>SPARE_IN0102(Bit_Input:=Machine_IO.CHASSIS_Inputs.Chassis_Deadman_Button.Alarm_Active,ID:=2002,Description:='SPARE_IN0102 {CHASSIS.CHASSIS.IN0102}',Add_Info:=Machine_IO.CHASSIS_Inputs.Chassis_Deadman_Button.AlmLog.Buffer);</v>
      </c>
      <c r="L4" t="str">
        <f t="shared" si="6"/>
        <v>SPARE_IN0102: MGSE_AlarmBit;</v>
      </c>
    </row>
    <row r="5" spans="1:12" x14ac:dyDescent="0.25">
      <c r="A5">
        <v>2003</v>
      </c>
      <c r="B5" t="s">
        <v>93</v>
      </c>
      <c r="C5" t="s">
        <v>446</v>
      </c>
      <c r="D5" s="26">
        <f t="shared" si="0"/>
        <v>9</v>
      </c>
      <c r="E5" s="26" t="str">
        <f t="shared" si="1"/>
        <v/>
      </c>
      <c r="F5" s="26" t="str">
        <f t="shared" si="2"/>
        <v/>
      </c>
      <c r="G5" t="s">
        <v>508</v>
      </c>
      <c r="H5" t="str">
        <f t="shared" si="3"/>
        <v>SPARE_IN0103 {CHASSIS.CHASSIS.IN0103}</v>
      </c>
      <c r="I5" s="26">
        <f t="shared" si="4"/>
        <v>37</v>
      </c>
      <c r="J5" t="s">
        <v>299</v>
      </c>
      <c r="K5" t="str">
        <f t="shared" si="5"/>
        <v>SPARE_IN0103(Bit_Input:=Machine_IO.CHASSIS_Inputs.Chassis_Cabin_Raise_Button.Alarm_Active,ID:=2003,Description:='SPARE_IN0103 {CHASSIS.CHASSIS.IN0103}',Add_Info:=Machine_IO.CHASSIS_Inputs.Chassis_Cabin_Raise_Button.AlmLog.Buffer);</v>
      </c>
      <c r="L5" t="str">
        <f t="shared" si="6"/>
        <v>SPARE_IN0103: MGSE_AlarmBit;</v>
      </c>
    </row>
    <row r="6" spans="1:12" x14ac:dyDescent="0.25">
      <c r="A6">
        <v>2004</v>
      </c>
      <c r="B6" t="s">
        <v>93</v>
      </c>
      <c r="C6" t="s">
        <v>447</v>
      </c>
      <c r="D6" s="26">
        <f t="shared" si="0"/>
        <v>9</v>
      </c>
      <c r="E6" s="26" t="str">
        <f t="shared" si="1"/>
        <v/>
      </c>
      <c r="F6" s="26" t="str">
        <f t="shared" si="2"/>
        <v/>
      </c>
      <c r="G6" t="s">
        <v>509</v>
      </c>
      <c r="H6" t="str">
        <f t="shared" si="3"/>
        <v>SPARE_IN0200 {CHASSIS.CHASSIS.IN0200}</v>
      </c>
      <c r="I6" s="26">
        <f t="shared" si="4"/>
        <v>37</v>
      </c>
      <c r="J6" t="s">
        <v>300</v>
      </c>
      <c r="K6" t="str">
        <f t="shared" si="5"/>
        <v>SPARE_IN0200(Bit_Input:=Machine_IO.CHASSIS_Inputs.Chassis_Cabin_Lower_Button.Alarm_Active,ID:=2004,Description:='SPARE_IN0200 {CHASSIS.CHASSIS.IN0200}',Add_Info:=Machine_IO.CHASSIS_Inputs.Chassis_Cabin_Lower_Button.AlmLog.Buffer);</v>
      </c>
      <c r="L6" t="str">
        <f t="shared" si="6"/>
        <v>SPARE_IN0200: MGSE_AlarmBit;</v>
      </c>
    </row>
    <row r="7" spans="1:12" x14ac:dyDescent="0.25">
      <c r="A7">
        <v>2005</v>
      </c>
      <c r="B7" t="s">
        <v>93</v>
      </c>
      <c r="C7" t="s">
        <v>448</v>
      </c>
      <c r="D7" s="26">
        <f t="shared" si="0"/>
        <v>9</v>
      </c>
      <c r="E7" s="26" t="str">
        <f t="shared" si="1"/>
        <v/>
      </c>
      <c r="F7" s="26" t="str">
        <f t="shared" si="2"/>
        <v/>
      </c>
      <c r="G7" t="s">
        <v>510</v>
      </c>
      <c r="H7" t="str">
        <f t="shared" si="3"/>
        <v>SPARE_IN0201 {CHASSIS.CHASSIS.IN0201}</v>
      </c>
      <c r="I7" s="26">
        <f t="shared" si="4"/>
        <v>37</v>
      </c>
      <c r="J7" t="s">
        <v>301</v>
      </c>
      <c r="K7" t="str">
        <f t="shared" si="5"/>
        <v>SPARE_IN0201(Bit_Input:=Machine_IO.CHASSIS_Inputs.Chassis_Jacklegs_Raise_Button.Alarm_Active,ID:=2005,Description:='SPARE_IN0201 {CHASSIS.CHASSIS.IN0201}',Add_Info:=Machine_IO.CHASSIS_Inputs.Chassis_Jacklegs_Raise_Button.AlmLog.Buffer);</v>
      </c>
      <c r="L7" t="str">
        <f t="shared" si="6"/>
        <v>SPARE_IN0201: MGSE_AlarmBit;</v>
      </c>
    </row>
    <row r="8" spans="1:12" x14ac:dyDescent="0.25">
      <c r="A8">
        <v>2006</v>
      </c>
      <c r="B8" t="s">
        <v>93</v>
      </c>
      <c r="C8" t="s">
        <v>449</v>
      </c>
      <c r="D8" s="26">
        <f t="shared" si="0"/>
        <v>9</v>
      </c>
      <c r="E8" s="26" t="str">
        <f t="shared" si="1"/>
        <v/>
      </c>
      <c r="F8" s="26" t="str">
        <f t="shared" si="2"/>
        <v/>
      </c>
      <c r="G8" t="s">
        <v>511</v>
      </c>
      <c r="H8" t="str">
        <f t="shared" si="3"/>
        <v>SPARE_IN0202 {CHASSIS.CHASSIS.IN0202}</v>
      </c>
      <c r="I8" s="26">
        <f t="shared" si="4"/>
        <v>37</v>
      </c>
      <c r="J8" t="s">
        <v>302</v>
      </c>
      <c r="K8" t="str">
        <f t="shared" si="5"/>
        <v>SPARE_IN0202(Bit_Input:=Machine_IO.CHASSIS_Inputs.Chassis_Jacklegs_Lower_Button.Alarm_Active,ID:=2006,Description:='SPARE_IN0202 {CHASSIS.CHASSIS.IN0202}',Add_Info:=Machine_IO.CHASSIS_Inputs.Chassis_Jacklegs_Lower_Button.AlmLog.Buffer);</v>
      </c>
      <c r="L8" t="str">
        <f t="shared" si="6"/>
        <v>SPARE_IN0202: MGSE_AlarmBit;</v>
      </c>
    </row>
    <row r="9" spans="1:12" x14ac:dyDescent="0.25">
      <c r="A9">
        <v>2007</v>
      </c>
      <c r="B9" t="s">
        <v>93</v>
      </c>
      <c r="C9" t="s">
        <v>450</v>
      </c>
      <c r="D9" s="26">
        <f t="shared" si="0"/>
        <v>9</v>
      </c>
      <c r="E9" s="26" t="str">
        <f t="shared" si="1"/>
        <v/>
      </c>
      <c r="F9" s="26" t="str">
        <f t="shared" si="2"/>
        <v/>
      </c>
      <c r="G9" t="s">
        <v>512</v>
      </c>
      <c r="H9" t="str">
        <f t="shared" si="3"/>
        <v>SPARE_IN0203 {CHASSIS.CHASSIS.IN0203}</v>
      </c>
      <c r="I9" s="26">
        <f t="shared" si="4"/>
        <v>37</v>
      </c>
      <c r="J9" t="s">
        <v>303</v>
      </c>
      <c r="K9" t="str">
        <f t="shared" si="5"/>
        <v>SPARE_IN0203(Bit_Input:=Machine_IO.CHASSIS_Inputs.Chassis_Engine_Restart_Button.Alarm_Active,ID:=2007,Description:='SPARE_IN0203 {CHASSIS.CHASSIS.IN0203}',Add_Info:=Machine_IO.CHASSIS_Inputs.Chassis_Engine_Restart_Button.AlmLog.Buffer);</v>
      </c>
      <c r="L9" t="str">
        <f t="shared" si="6"/>
        <v>SPARE_IN0203: MGSE_AlarmBit;</v>
      </c>
    </row>
    <row r="10" spans="1:12" x14ac:dyDescent="0.25">
      <c r="A10">
        <v>2008</v>
      </c>
      <c r="B10" t="s">
        <v>93</v>
      </c>
      <c r="C10" t="s">
        <v>451</v>
      </c>
      <c r="D10" s="26">
        <f t="shared" si="0"/>
        <v>9</v>
      </c>
      <c r="E10" s="26" t="str">
        <f t="shared" si="1"/>
        <v/>
      </c>
      <c r="F10" s="26" t="str">
        <f t="shared" si="2"/>
        <v/>
      </c>
      <c r="G10" t="s">
        <v>513</v>
      </c>
      <c r="H10" t="str">
        <f t="shared" si="3"/>
        <v>SPARE_IN0600 {CHASSIS.CHASSIS.IN0600}</v>
      </c>
      <c r="I10" s="26">
        <f t="shared" si="4"/>
        <v>37</v>
      </c>
      <c r="J10" t="s">
        <v>304</v>
      </c>
      <c r="K10" t="str">
        <f t="shared" si="5"/>
        <v>SPARE_IN0600(Bit_Input:=Machine_IO.CHASSIS_Inputs.EStop_Chassis_Left_Button.Alarm_Active,ID:=2008,Description:='SPARE_IN0600 {CHASSIS.CHASSIS.IN0600}',Add_Info:=Machine_IO.CHASSIS_Inputs.EStop_Chassis_Left_Button.AlmLog.Buffer);</v>
      </c>
      <c r="L10" t="str">
        <f t="shared" si="6"/>
        <v>SPARE_IN0600: MGSE_AlarmBit;</v>
      </c>
    </row>
    <row r="11" spans="1:12" x14ac:dyDescent="0.25">
      <c r="A11">
        <v>2009</v>
      </c>
      <c r="B11" t="s">
        <v>93</v>
      </c>
      <c r="C11" t="s">
        <v>452</v>
      </c>
      <c r="D11" s="26">
        <f t="shared" si="0"/>
        <v>9</v>
      </c>
      <c r="E11" s="26" t="str">
        <f t="shared" si="1"/>
        <v/>
      </c>
      <c r="F11" s="26" t="str">
        <f t="shared" si="2"/>
        <v/>
      </c>
      <c r="G11" t="s">
        <v>514</v>
      </c>
      <c r="H11" t="str">
        <f t="shared" si="3"/>
        <v>SPARE_IN0601 {CHASSIS.CHASSIS.IN0601}</v>
      </c>
      <c r="I11" s="26">
        <f t="shared" si="4"/>
        <v>37</v>
      </c>
      <c r="J11" t="s">
        <v>305</v>
      </c>
      <c r="K11" t="str">
        <f t="shared" si="5"/>
        <v>SPARE_IN0601(Bit_Input:=Machine_IO.CHASSIS_Inputs.Chassis_DC_Pump_Button.Alarm_Active,ID:=2009,Description:='SPARE_IN0601 {CHASSIS.CHASSIS.IN0601}',Add_Info:=Machine_IO.CHASSIS_Inputs.Chassis_DC_Pump_Button.AlmLog.Buffer);</v>
      </c>
      <c r="L11" t="str">
        <f t="shared" si="6"/>
        <v>SPARE_IN0601: MGSE_AlarmBit;</v>
      </c>
    </row>
    <row r="12" spans="1:12" x14ac:dyDescent="0.25">
      <c r="A12">
        <v>2010</v>
      </c>
      <c r="B12" t="s">
        <v>93</v>
      </c>
      <c r="C12" t="s">
        <v>453</v>
      </c>
      <c r="D12" s="26">
        <f t="shared" si="0"/>
        <v>9</v>
      </c>
      <c r="E12" s="26" t="str">
        <f t="shared" si="1"/>
        <v/>
      </c>
      <c r="F12" s="26" t="str">
        <f t="shared" si="2"/>
        <v/>
      </c>
      <c r="G12" t="s">
        <v>515</v>
      </c>
      <c r="H12" t="str">
        <f t="shared" si="3"/>
        <v>SPARE_IN0602 {CHASSIS.CHASSIS.IN0602}</v>
      </c>
      <c r="I12" s="26">
        <f t="shared" si="4"/>
        <v>37</v>
      </c>
      <c r="J12" t="s">
        <v>306</v>
      </c>
      <c r="K12" t="str">
        <f t="shared" si="5"/>
        <v>SPARE_IN0602(Bit_Input:=Machine_IO.CHASSIS_Inputs.Jacklegs_Pressure_Switch.Alarm_Active,ID:=2010,Description:='SPARE_IN0602 {CHASSIS.CHASSIS.IN0602}',Add_Info:=Machine_IO.CHASSIS_Inputs.Jacklegs_Pressure_Switch.AlmLog.Buffer);</v>
      </c>
      <c r="L12" t="str">
        <f t="shared" si="6"/>
        <v>SPARE_IN0602: MGSE_AlarmBit;</v>
      </c>
    </row>
    <row r="13" spans="1:12" x14ac:dyDescent="0.25">
      <c r="A13">
        <v>2011</v>
      </c>
      <c r="B13" t="s">
        <v>93</v>
      </c>
      <c r="C13" t="s">
        <v>454</v>
      </c>
      <c r="D13" s="26">
        <f t="shared" si="0"/>
        <v>9</v>
      </c>
      <c r="E13" s="26" t="str">
        <f t="shared" si="1"/>
        <v/>
      </c>
      <c r="F13" s="26" t="str">
        <f t="shared" si="2"/>
        <v/>
      </c>
      <c r="G13" t="s">
        <v>516</v>
      </c>
      <c r="H13" t="str">
        <f t="shared" si="3"/>
        <v>SPARE_IN0603 {CHASSIS.CHASSIS.IN0603}</v>
      </c>
      <c r="I13" s="26">
        <f t="shared" si="4"/>
        <v>37</v>
      </c>
      <c r="J13" t="s">
        <v>307</v>
      </c>
      <c r="K13" t="str">
        <f t="shared" si="5"/>
        <v>SPARE_IN0603(Bit_Input:=Machine_IO.CHASSIS_Inputs.Mains_Cable_Stowed_Switch.Alarm_Active,ID:=2011,Description:='SPARE_IN0603 {CHASSIS.CHASSIS.IN0603}',Add_Info:=Machine_IO.CHASSIS_Inputs.Mains_Cable_Stowed_Switch.AlmLog.Buffer);</v>
      </c>
      <c r="L13" t="str">
        <f t="shared" si="6"/>
        <v>SPARE_IN0603: MGSE_AlarmBit;</v>
      </c>
    </row>
    <row r="14" spans="1:12" x14ac:dyDescent="0.25">
      <c r="A14">
        <v>2012</v>
      </c>
      <c r="B14" t="s">
        <v>93</v>
      </c>
      <c r="C14" t="s">
        <v>455</v>
      </c>
      <c r="D14" s="26">
        <f t="shared" si="0"/>
        <v>9</v>
      </c>
      <c r="E14" s="26" t="str">
        <f t="shared" si="1"/>
        <v/>
      </c>
      <c r="F14" s="26" t="str">
        <f t="shared" si="2"/>
        <v/>
      </c>
      <c r="G14" t="s">
        <v>517</v>
      </c>
      <c r="H14" t="str">
        <f t="shared" si="3"/>
        <v>SPARE_IN0700 {CHASSIS.CHASSIS.IN0700}</v>
      </c>
      <c r="I14" s="26">
        <f t="shared" si="4"/>
        <v>37</v>
      </c>
      <c r="J14" t="s">
        <v>308</v>
      </c>
      <c r="K14" t="str">
        <f t="shared" si="5"/>
        <v>SPARE_IN0700(Bit_Input:=Machine_IO.CHASSIS_Inputs.Jacklegs_Front_Stowed_Signal.Alarm_Active,ID:=2012,Description:='SPARE_IN0700 {CHASSIS.CHASSIS.IN0700}',Add_Info:=Machine_IO.CHASSIS_Inputs.Jacklegs_Front_Stowed_Signal.AlmLog.Buffer);</v>
      </c>
      <c r="L14" t="str">
        <f t="shared" si="6"/>
        <v>SPARE_IN0700: MGSE_AlarmBit;</v>
      </c>
    </row>
    <row r="15" spans="1:12" x14ac:dyDescent="0.25">
      <c r="A15">
        <v>2013</v>
      </c>
      <c r="B15" t="s">
        <v>93</v>
      </c>
      <c r="C15" t="s">
        <v>456</v>
      </c>
      <c r="D15" s="26">
        <f t="shared" si="0"/>
        <v>9</v>
      </c>
      <c r="E15" s="26" t="str">
        <f t="shared" si="1"/>
        <v/>
      </c>
      <c r="F15" s="26" t="str">
        <f t="shared" si="2"/>
        <v/>
      </c>
      <c r="G15" t="s">
        <v>402</v>
      </c>
      <c r="H15" t="str">
        <f t="shared" si="3"/>
        <v>RADIORHS_JACKLEGRAISE_REQ {CHASSIS.CHASSIS.IN0701}</v>
      </c>
      <c r="I15" s="26">
        <f t="shared" si="4"/>
        <v>50</v>
      </c>
      <c r="J15" t="s">
        <v>309</v>
      </c>
      <c r="K15" t="str">
        <f t="shared" si="5"/>
        <v>RADIORHS_JACKLEGRAISE_REQ(Bit_Input:=Machine_IO.CHASSIS_Inputs.Jacklegs_Rear_Stowed_Signal.Alarm_Active,ID:=2013,Description:='RADIORHS_JACKLEGRAISE_REQ {CHASSIS.CHASSIS.IN0701}',Add_Info:=Machine_IO.CHASSIS_Inputs.Jacklegs_Rear_Stowed_Signal.AlmLog.Buffer);</v>
      </c>
      <c r="L15" t="str">
        <f t="shared" si="6"/>
        <v>RADIORHS_JACKLEGRAISE_REQ: MGSE_AlarmBit;</v>
      </c>
    </row>
    <row r="16" spans="1:12" x14ac:dyDescent="0.25">
      <c r="A16">
        <v>2014</v>
      </c>
      <c r="B16" t="s">
        <v>93</v>
      </c>
      <c r="C16" t="s">
        <v>457</v>
      </c>
      <c r="D16" s="26">
        <f t="shared" si="0"/>
        <v>9</v>
      </c>
      <c r="E16" s="26" t="str">
        <f t="shared" si="1"/>
        <v/>
      </c>
      <c r="F16" s="26" t="str">
        <f t="shared" si="2"/>
        <v/>
      </c>
      <c r="G16" t="s">
        <v>403</v>
      </c>
      <c r="H16" t="str">
        <f t="shared" si="3"/>
        <v>RHS_TROMMELDOORSW {CHASSIS.CHASSIS.IN0702}</v>
      </c>
      <c r="I16" s="26">
        <f t="shared" si="4"/>
        <v>42</v>
      </c>
      <c r="J16" t="s">
        <v>310</v>
      </c>
      <c r="K16" t="str">
        <f t="shared" si="5"/>
        <v>RHS_TROMMELDOORSW(Bit_Input:=Machine_IO.CHASSIS_Inputs.Cabin_Part_Raised_Signal.Alarm_Active,ID:=2014,Description:='RHS_TROMMELDOORSW {CHASSIS.CHASSIS.IN0702}',Add_Info:=Machine_IO.CHASSIS_Inputs.Cabin_Part_Raised_Signal.AlmLog.Buffer);</v>
      </c>
      <c r="L16" t="str">
        <f t="shared" si="6"/>
        <v>RHS_TROMMELDOORSW: MGSE_AlarmBit;</v>
      </c>
    </row>
    <row r="17" spans="1:12" x14ac:dyDescent="0.25">
      <c r="A17">
        <v>2015</v>
      </c>
      <c r="B17" t="s">
        <v>93</v>
      </c>
      <c r="C17" t="s">
        <v>458</v>
      </c>
      <c r="D17" s="26">
        <f t="shared" si="0"/>
        <v>9</v>
      </c>
      <c r="E17" s="26" t="str">
        <f t="shared" si="1"/>
        <v/>
      </c>
      <c r="F17" s="26" t="str">
        <f t="shared" si="2"/>
        <v/>
      </c>
      <c r="G17" t="s">
        <v>404</v>
      </c>
      <c r="H17" t="str">
        <f t="shared" si="3"/>
        <v>LHS_TROMMELDOORSW {CHASSIS.CHASSIS.IN0703}</v>
      </c>
      <c r="I17" s="26">
        <f t="shared" si="4"/>
        <v>42</v>
      </c>
      <c r="J17" t="s">
        <v>311</v>
      </c>
      <c r="K17" t="str">
        <f t="shared" si="5"/>
        <v>LHS_TROMMELDOORSW(Bit_Input:=Machine_IO.CHASSIS_Inputs.Cabin_Max_Height_Signal.Alarm_Active,ID:=2015,Description:='LHS_TROMMELDOORSW {CHASSIS.CHASSIS.IN0703}',Add_Info:=Machine_IO.CHASSIS_Inputs.Cabin_Max_Height_Signal.AlmLog.Buffer);</v>
      </c>
      <c r="L17" t="str">
        <f t="shared" si="6"/>
        <v>LHS_TROMMELDOORSW: MGSE_AlarmBit;</v>
      </c>
    </row>
    <row r="18" spans="1:12" x14ac:dyDescent="0.25">
      <c r="A18">
        <v>2016</v>
      </c>
      <c r="B18" t="s">
        <v>93</v>
      </c>
      <c r="C18" t="s">
        <v>459</v>
      </c>
      <c r="D18" s="26">
        <f t="shared" si="0"/>
        <v>9</v>
      </c>
      <c r="E18" s="26" t="str">
        <f t="shared" si="1"/>
        <v/>
      </c>
      <c r="F18" s="26" t="str">
        <f t="shared" si="2"/>
        <v/>
      </c>
      <c r="G18" t="s">
        <v>405</v>
      </c>
      <c r="H18" t="str">
        <f t="shared" si="3"/>
        <v>HYDOILTEMP_SW {CHASSIS.CHASSIS.IN0000}</v>
      </c>
      <c r="I18" s="26">
        <f t="shared" si="4"/>
        <v>38</v>
      </c>
      <c r="J18" t="s">
        <v>312</v>
      </c>
      <c r="K18" t="str">
        <f t="shared" si="5"/>
        <v>HYDOILTEMP_SW(Bit_Input:=Machine_IO.CHASSIS_Inputs.Cabin_Lower_Limit_Signal.Alarm_Active,ID:=2016,Description:='HYDOILTEMP_SW {CHASSIS.CHASSIS.IN0000}',Add_Info:=Machine_IO.CHASSIS_Inputs.Cabin_Lower_Limit_Signal.AlmLog.Buffer);</v>
      </c>
      <c r="L18" t="str">
        <f t="shared" si="6"/>
        <v>HYDOILTEMP_SW: MGSE_AlarmBit;</v>
      </c>
    </row>
    <row r="19" spans="1:12" x14ac:dyDescent="0.25">
      <c r="A19">
        <v>2017</v>
      </c>
      <c r="B19" t="s">
        <v>93</v>
      </c>
      <c r="C19" t="s">
        <v>460</v>
      </c>
      <c r="D19" s="26">
        <f t="shared" si="0"/>
        <v>9</v>
      </c>
      <c r="E19" s="26" t="str">
        <f t="shared" si="1"/>
        <v/>
      </c>
      <c r="F19" s="26" t="str">
        <f t="shared" si="2"/>
        <v/>
      </c>
      <c r="G19" t="s">
        <v>406</v>
      </c>
      <c r="H19" t="str">
        <f t="shared" si="3"/>
        <v>HYDOILLEVEL_SW {CHASSIS.CHASSIS.IN0001}</v>
      </c>
      <c r="I19" s="26">
        <f t="shared" si="4"/>
        <v>39</v>
      </c>
      <c r="J19" t="s">
        <v>313</v>
      </c>
      <c r="K19" t="str">
        <f t="shared" si="5"/>
        <v>HYDOILLEVEL_SW(Bit_Input:=Machine_IO.CHASSIS_Inputs.Cabin_Stowed_Signal.Alarm_Active,ID:=2017,Description:='HYDOILLEVEL_SW {CHASSIS.CHASSIS.IN0001}',Add_Info:=Machine_IO.CHASSIS_Inputs.Cabin_Stowed_Signal.AlmLog.Buffer);</v>
      </c>
      <c r="L19" t="str">
        <f t="shared" si="6"/>
        <v>HYDOILLEVEL_SW: MGSE_AlarmBit;</v>
      </c>
    </row>
    <row r="20" spans="1:12" x14ac:dyDescent="0.25">
      <c r="A20">
        <v>2018</v>
      </c>
      <c r="B20" t="s">
        <v>93</v>
      </c>
      <c r="C20" t="s">
        <v>461</v>
      </c>
      <c r="D20" s="26">
        <f t="shared" si="0"/>
        <v>9</v>
      </c>
      <c r="E20" s="26" t="str">
        <f t="shared" si="1"/>
        <v/>
      </c>
      <c r="F20" s="26" t="str">
        <f t="shared" si="2"/>
        <v/>
      </c>
      <c r="G20" t="s">
        <v>407</v>
      </c>
      <c r="H20" t="str">
        <f t="shared" si="3"/>
        <v>THERMOSTAT {CHASSIS.CHASSIS.IN0002}</v>
      </c>
      <c r="I20" s="26">
        <f t="shared" si="4"/>
        <v>35</v>
      </c>
      <c r="J20" t="s">
        <v>314</v>
      </c>
      <c r="K20" t="str">
        <f t="shared" si="5"/>
        <v>THERMOSTAT(Bit_Input:=Machine_IO.CHASSIS_Inputs.Mains_Phases_Good_Signal.Alarm_Active,ID:=2018,Description:='THERMOSTAT {CHASSIS.CHASSIS.IN0002}',Add_Info:=Machine_IO.CHASSIS_Inputs.Mains_Phases_Good_Signal.AlmLog.Buffer);</v>
      </c>
      <c r="L20" t="str">
        <f t="shared" si="6"/>
        <v>THERMOSTAT: MGSE_AlarmBit;</v>
      </c>
    </row>
    <row r="21" spans="1:12" x14ac:dyDescent="0.25">
      <c r="A21">
        <v>2019</v>
      </c>
      <c r="B21" t="s">
        <v>93</v>
      </c>
      <c r="C21" t="s">
        <v>462</v>
      </c>
      <c r="D21" s="26">
        <f t="shared" si="0"/>
        <v>9</v>
      </c>
      <c r="E21" s="26" t="str">
        <f t="shared" si="1"/>
        <v/>
      </c>
      <c r="F21" s="26" t="str">
        <f t="shared" si="2"/>
        <v/>
      </c>
      <c r="G21" t="s">
        <v>408</v>
      </c>
      <c r="H21" t="str">
        <f t="shared" si="3"/>
        <v>RADIORHS_JACKLEGLOWER_REQ {CHASSIS.CHASSIS.IN0003}</v>
      </c>
      <c r="I21" s="26">
        <f t="shared" si="4"/>
        <v>50</v>
      </c>
      <c r="J21" t="s">
        <v>315</v>
      </c>
      <c r="K21" t="str">
        <f t="shared" si="5"/>
        <v>RADIORHS_JACKLEGLOWER_REQ(Bit_Input:=Machine_IO.CHASSIS_Inputs.Mains_Hyd_Pump_Running.Alarm_Active,ID:=2019,Description:='RADIORHS_JACKLEGLOWER_REQ {CHASSIS.CHASSIS.IN0003}',Add_Info:=Machine_IO.CHASSIS_Inputs.Mains_Hyd_Pump_Running.AlmLog.Buffer);</v>
      </c>
      <c r="L21" t="str">
        <f t="shared" si="6"/>
        <v>RADIORHS_JACKLEGLOWER_REQ: MGSE_AlarmBit;</v>
      </c>
    </row>
    <row r="22" spans="1:12" x14ac:dyDescent="0.25">
      <c r="A22">
        <v>2020</v>
      </c>
      <c r="B22" t="s">
        <v>93</v>
      </c>
      <c r="C22" t="s">
        <v>463</v>
      </c>
      <c r="D22" s="26">
        <f t="shared" si="0"/>
        <v>9</v>
      </c>
      <c r="E22" s="26" t="str">
        <f t="shared" si="1"/>
        <v/>
      </c>
      <c r="F22" s="26" t="str">
        <f t="shared" si="2"/>
        <v/>
      </c>
      <c r="G22" t="s">
        <v>409</v>
      </c>
      <c r="H22" t="str">
        <f t="shared" si="3"/>
        <v>RADIOLHS_JACKLEGRAISE_REQ {CHASSIS.CHASSIS.IN0500}</v>
      </c>
      <c r="I22" s="26">
        <f t="shared" si="4"/>
        <v>50</v>
      </c>
      <c r="J22" t="s">
        <v>316</v>
      </c>
      <c r="K22" t="str">
        <f t="shared" si="5"/>
        <v>RADIOLHS_JACKLEGRAISE_REQ(Bit_Input:=Machine_IO.CHASSIS_Inputs.Chassis_Platform_Tilt_Left_Button.Alarm_Active,ID:=2020,Description:='RADIOLHS_JACKLEGRAISE_REQ {CHASSIS.CHASSIS.IN0500}',Add_Info:=Machine_IO.CHASSIS_Inputs.Chassis_Platform_Tilt_Left_Button.AlmLog.Buffer);</v>
      </c>
      <c r="L22" t="str">
        <f t="shared" si="6"/>
        <v>RADIOLHS_JACKLEGRAISE_REQ: MGSE_AlarmBit;</v>
      </c>
    </row>
    <row r="23" spans="1:12" x14ac:dyDescent="0.25">
      <c r="A23">
        <v>2021</v>
      </c>
      <c r="B23" t="s">
        <v>93</v>
      </c>
      <c r="C23" t="s">
        <v>464</v>
      </c>
      <c r="D23" s="26">
        <f t="shared" si="0"/>
        <v>9</v>
      </c>
      <c r="E23" s="26" t="str">
        <f t="shared" si="1"/>
        <v/>
      </c>
      <c r="F23" s="26" t="str">
        <f t="shared" si="2"/>
        <v/>
      </c>
      <c r="G23" t="s">
        <v>410</v>
      </c>
      <c r="H23" t="str">
        <f t="shared" si="3"/>
        <v>RADIOLHS_JACKLEGLOWER_REQ {CHASSIS.CHASSIS.IN0501}</v>
      </c>
      <c r="I23" s="26">
        <f t="shared" si="4"/>
        <v>50</v>
      </c>
      <c r="J23" t="s">
        <v>317</v>
      </c>
      <c r="K23" t="str">
        <f t="shared" si="5"/>
        <v>RADIOLHS_JACKLEGLOWER_REQ(Bit_Input:=Machine_IO.CHASSIS_Inputs.Chassis_Platform_Tilt_Right_Button.Alarm_Active,ID:=2021,Description:='RADIOLHS_JACKLEGLOWER_REQ {CHASSIS.CHASSIS.IN0501}',Add_Info:=Machine_IO.CHASSIS_Inputs.Chassis_Platform_Tilt_Right_Button.AlmLog.Buffer);</v>
      </c>
      <c r="L23" t="str">
        <f t="shared" si="6"/>
        <v>RADIOLHS_JACKLEGLOWER_REQ: MGSE_AlarmBit;</v>
      </c>
    </row>
    <row r="24" spans="1:12" x14ac:dyDescent="0.25">
      <c r="A24">
        <v>2022</v>
      </c>
      <c r="B24" t="s">
        <v>93</v>
      </c>
      <c r="C24" t="s">
        <v>465</v>
      </c>
      <c r="D24" s="26">
        <f t="shared" si="0"/>
        <v>9</v>
      </c>
      <c r="E24" s="26" t="str">
        <f t="shared" si="1"/>
        <v/>
      </c>
      <c r="F24" s="26" t="str">
        <f t="shared" si="2"/>
        <v/>
      </c>
      <c r="G24" t="s">
        <v>411</v>
      </c>
      <c r="H24" t="str">
        <f t="shared" si="3"/>
        <v>RADIOSIDECONVRAISEREQ {CHASSIS.CHASSIS.IN0502}</v>
      </c>
      <c r="I24" s="26">
        <f t="shared" si="4"/>
        <v>46</v>
      </c>
      <c r="J24" t="s">
        <v>318</v>
      </c>
      <c r="K24" t="str">
        <f t="shared" si="5"/>
        <v>RADIOSIDECONVRAISEREQ(Bit_Input:=Machine_IO.CHASSIS_Inputs.Chassis_Engine_Stop_Button.Alarm_Active,ID:=2022,Description:='RADIOSIDECONVRAISEREQ {CHASSIS.CHASSIS.IN0502}',Add_Info:=Machine_IO.CHASSIS_Inputs.Chassis_Engine_Stop_Button.AlmLog.Buffer);</v>
      </c>
      <c r="L24" t="str">
        <f t="shared" si="6"/>
        <v>RADIOSIDECONVRAISEREQ: MGSE_AlarmBit;</v>
      </c>
    </row>
    <row r="25" spans="1:12" x14ac:dyDescent="0.25">
      <c r="A25">
        <v>2023</v>
      </c>
      <c r="B25" t="s">
        <v>93</v>
      </c>
      <c r="C25" t="s">
        <v>466</v>
      </c>
      <c r="D25" s="26">
        <f t="shared" si="0"/>
        <v>9</v>
      </c>
      <c r="E25" s="26" t="str">
        <f t="shared" si="1"/>
        <v/>
      </c>
      <c r="F25" s="26" t="str">
        <f t="shared" si="2"/>
        <v/>
      </c>
      <c r="G25" t="s">
        <v>412</v>
      </c>
      <c r="H25" t="str">
        <f t="shared" si="3"/>
        <v>RADIOSIDECONVLOWERREQ {CHASSIS.CHASSIS.IN0503}</v>
      </c>
      <c r="I25" s="26">
        <f t="shared" si="4"/>
        <v>46</v>
      </c>
      <c r="J25" t="s">
        <v>319</v>
      </c>
      <c r="K25" t="str">
        <f t="shared" si="5"/>
        <v>RADIOSIDECONVLOWERREQ(Bit_Input:=Machine_IO.CHASSIS_Inputs.EStop_Chassis_Right_Button.Alarm_Active,ID:=2023,Description:='RADIOSIDECONVLOWERREQ {CHASSIS.CHASSIS.IN0503}',Add_Info:=Machine_IO.CHASSIS_Inputs.EStop_Chassis_Right_Button.AlmLog.Buffer);</v>
      </c>
      <c r="L25" t="str">
        <f t="shared" si="6"/>
        <v>RADIOSIDECONVLOWERREQ: MGSE_AlarmBit;</v>
      </c>
    </row>
    <row r="26" spans="1:12" x14ac:dyDescent="0.25">
      <c r="A26">
        <v>2024</v>
      </c>
      <c r="B26" t="s">
        <v>93</v>
      </c>
      <c r="C26" t="s">
        <v>467</v>
      </c>
      <c r="D26" s="26">
        <f t="shared" si="0"/>
        <v>9</v>
      </c>
      <c r="E26" s="26" t="str">
        <f t="shared" si="1"/>
        <v/>
      </c>
      <c r="F26" s="26" t="str">
        <f t="shared" si="2"/>
        <v/>
      </c>
      <c r="G26" t="s">
        <v>518</v>
      </c>
      <c r="H26" t="str">
        <f t="shared" ref="H26:H33" si="7">_xlfn.CONCAT(G26," {",B26,".",C26,"}")</f>
        <v>SPARE_IN0400 {CHASSIS.CHASSIS.IN0400}</v>
      </c>
      <c r="I26" s="26">
        <f t="shared" ref="I26:I33" si="8">LEN(H26)</f>
        <v>37</v>
      </c>
      <c r="J26" t="s">
        <v>319</v>
      </c>
      <c r="K26" t="str">
        <f t="shared" ref="K26:K33" si="9">_xlfn.CONCAT(G26,"(Bit_Input:=",J26,".Alarm_Active",",ID:=",A26,",Description:='",H26,"',Add_Info:=",J26,".AlmLog.Buffer",");")</f>
        <v>SPARE_IN0400(Bit_Input:=Machine_IO.CHASSIS_Inputs.EStop_Chassis_Right_Button.Alarm_Active,ID:=2024,Description:='SPARE_IN0400 {CHASSIS.CHASSIS.IN0400}',Add_Info:=Machine_IO.CHASSIS_Inputs.EStop_Chassis_Right_Button.AlmLog.Buffer);</v>
      </c>
      <c r="L26" t="str">
        <f t="shared" ref="L26:L33" si="10">_xlfn.CONCAT(G26,": MGSE_AlarmBit;")</f>
        <v>SPARE_IN0400: MGSE_AlarmBit;</v>
      </c>
    </row>
    <row r="27" spans="1:12" x14ac:dyDescent="0.25">
      <c r="A27">
        <v>2025</v>
      </c>
      <c r="B27" t="s">
        <v>93</v>
      </c>
      <c r="C27" t="s">
        <v>468</v>
      </c>
      <c r="D27" s="26">
        <f t="shared" si="0"/>
        <v>9</v>
      </c>
      <c r="E27" s="26" t="str">
        <f t="shared" si="1"/>
        <v/>
      </c>
      <c r="F27" s="26" t="str">
        <f t="shared" si="2"/>
        <v/>
      </c>
      <c r="G27" t="s">
        <v>413</v>
      </c>
      <c r="H27" t="str">
        <f t="shared" si="7"/>
        <v>FUELLEVEL_PERCENT {CHASSIS.CHASSIS.IN0401}</v>
      </c>
      <c r="I27" s="26">
        <f t="shared" si="8"/>
        <v>42</v>
      </c>
      <c r="J27" t="s">
        <v>319</v>
      </c>
      <c r="K27" t="str">
        <f t="shared" si="9"/>
        <v>FUELLEVEL_PERCENT(Bit_Input:=Machine_IO.CHASSIS_Inputs.EStop_Chassis_Right_Button.Alarm_Active,ID:=2025,Description:='FUELLEVEL_PERCENT {CHASSIS.CHASSIS.IN0401}',Add_Info:=Machine_IO.CHASSIS_Inputs.EStop_Chassis_Right_Button.AlmLog.Buffer);</v>
      </c>
      <c r="L27" t="str">
        <f t="shared" si="10"/>
        <v>FUELLEVEL_PERCENT: MGSE_AlarmBit;</v>
      </c>
    </row>
    <row r="28" spans="1:12" x14ac:dyDescent="0.25">
      <c r="A28">
        <v>2026</v>
      </c>
      <c r="B28" t="s">
        <v>93</v>
      </c>
      <c r="C28" t="s">
        <v>469</v>
      </c>
      <c r="D28" s="26">
        <f t="shared" si="0"/>
        <v>9</v>
      </c>
      <c r="E28" s="26" t="str">
        <f t="shared" si="1"/>
        <v/>
      </c>
      <c r="F28" s="26" t="str">
        <f t="shared" si="2"/>
        <v/>
      </c>
      <c r="G28" t="s">
        <v>414</v>
      </c>
      <c r="H28" t="str">
        <f t="shared" si="7"/>
        <v>UMBTRACKREQ {CHASSIS.CHASSIS.IN0900}</v>
      </c>
      <c r="I28" s="26">
        <f t="shared" si="8"/>
        <v>36</v>
      </c>
      <c r="J28" t="s">
        <v>319</v>
      </c>
      <c r="K28" t="str">
        <f t="shared" si="9"/>
        <v>UMBTRACKREQ(Bit_Input:=Machine_IO.CHASSIS_Inputs.EStop_Chassis_Right_Button.Alarm_Active,ID:=2026,Description:='UMBTRACKREQ {CHASSIS.CHASSIS.IN0900}',Add_Info:=Machine_IO.CHASSIS_Inputs.EStop_Chassis_Right_Button.AlmLog.Buffer);</v>
      </c>
      <c r="L28" t="str">
        <f t="shared" si="10"/>
        <v>UMBTRACKREQ: MGSE_AlarmBit;</v>
      </c>
    </row>
    <row r="29" spans="1:12" x14ac:dyDescent="0.25">
      <c r="A29">
        <v>2027</v>
      </c>
      <c r="B29" t="s">
        <v>93</v>
      </c>
      <c r="C29" t="s">
        <v>470</v>
      </c>
      <c r="D29" s="26">
        <f t="shared" ref="D29:D48" si="11">IFERROR(FIND("IN",C29,1),"")</f>
        <v>9</v>
      </c>
      <c r="E29" s="26" t="str">
        <f t="shared" ref="E29:E48" si="12">IFERROR(FIND("OUT",C29,1),"")</f>
        <v/>
      </c>
      <c r="F29" s="26" t="str">
        <f t="shared" ref="F29:F48" si="13">IFERROR(FIND("GROUP",C29,1),"")</f>
        <v/>
      </c>
      <c r="G29" t="s">
        <v>415</v>
      </c>
      <c r="H29" t="str">
        <f t="shared" si="7"/>
        <v>UMBMACHINESTOP {CHASSIS.CHASSIS.IN0901}</v>
      </c>
      <c r="I29" s="26">
        <f t="shared" si="8"/>
        <v>39</v>
      </c>
      <c r="J29" t="s">
        <v>319</v>
      </c>
      <c r="K29" t="str">
        <f t="shared" si="9"/>
        <v>UMBMACHINESTOP(Bit_Input:=Machine_IO.CHASSIS_Inputs.EStop_Chassis_Right_Button.Alarm_Active,ID:=2027,Description:='UMBMACHINESTOP {CHASSIS.CHASSIS.IN0901}',Add_Info:=Machine_IO.CHASSIS_Inputs.EStop_Chassis_Right_Button.AlmLog.Buffer);</v>
      </c>
      <c r="L29" t="str">
        <f t="shared" si="10"/>
        <v>UMBMACHINESTOP: MGSE_AlarmBit;</v>
      </c>
    </row>
    <row r="30" spans="1:12" x14ac:dyDescent="0.25">
      <c r="A30">
        <v>2028</v>
      </c>
      <c r="B30" t="s">
        <v>93</v>
      </c>
      <c r="C30" t="s">
        <v>471</v>
      </c>
      <c r="D30" s="26">
        <f t="shared" si="11"/>
        <v>9</v>
      </c>
      <c r="E30" s="26" t="str">
        <f t="shared" si="12"/>
        <v/>
      </c>
      <c r="F30" s="26" t="str">
        <f t="shared" si="13"/>
        <v/>
      </c>
      <c r="G30" t="s">
        <v>416</v>
      </c>
      <c r="H30" t="str">
        <f t="shared" si="7"/>
        <v>RTF_REQ {CHASSIS.CHASSIS.IN0300}</v>
      </c>
      <c r="I30" s="26">
        <f t="shared" si="8"/>
        <v>32</v>
      </c>
      <c r="J30" t="s">
        <v>319</v>
      </c>
      <c r="K30" t="str">
        <f t="shared" si="9"/>
        <v>RTF_REQ(Bit_Input:=Machine_IO.CHASSIS_Inputs.EStop_Chassis_Right_Button.Alarm_Active,ID:=2028,Description:='RTF_REQ {CHASSIS.CHASSIS.IN0300}',Add_Info:=Machine_IO.CHASSIS_Inputs.EStop_Chassis_Right_Button.AlmLog.Buffer);</v>
      </c>
      <c r="L30" t="str">
        <f t="shared" si="10"/>
        <v>RTF_REQ: MGSE_AlarmBit;</v>
      </c>
    </row>
    <row r="31" spans="1:12" x14ac:dyDescent="0.25">
      <c r="A31">
        <v>2029</v>
      </c>
      <c r="B31" t="s">
        <v>93</v>
      </c>
      <c r="C31" t="s">
        <v>472</v>
      </c>
      <c r="D31" s="26">
        <f t="shared" si="11"/>
        <v>9</v>
      </c>
      <c r="E31" s="26" t="str">
        <f t="shared" si="12"/>
        <v/>
      </c>
      <c r="F31" s="26" t="str">
        <f t="shared" si="13"/>
        <v/>
      </c>
      <c r="G31" t="s">
        <v>417</v>
      </c>
      <c r="H31" t="str">
        <f t="shared" si="7"/>
        <v>RTR_REQ {CHASSIS.CHASSIS.IN0301}</v>
      </c>
      <c r="I31" s="26">
        <f t="shared" si="8"/>
        <v>32</v>
      </c>
      <c r="J31" t="s">
        <v>319</v>
      </c>
      <c r="K31" t="str">
        <f t="shared" si="9"/>
        <v>RTR_REQ(Bit_Input:=Machine_IO.CHASSIS_Inputs.EStop_Chassis_Right_Button.Alarm_Active,ID:=2029,Description:='RTR_REQ {CHASSIS.CHASSIS.IN0301}',Add_Info:=Machine_IO.CHASSIS_Inputs.EStop_Chassis_Right_Button.AlmLog.Buffer);</v>
      </c>
      <c r="L31" t="str">
        <f t="shared" si="10"/>
        <v>RTR_REQ: MGSE_AlarmBit;</v>
      </c>
    </row>
    <row r="32" spans="1:12" x14ac:dyDescent="0.25">
      <c r="A32">
        <v>2030</v>
      </c>
      <c r="B32" t="s">
        <v>93</v>
      </c>
      <c r="C32" t="s">
        <v>473</v>
      </c>
      <c r="D32" s="26">
        <f t="shared" si="11"/>
        <v>9</v>
      </c>
      <c r="E32" s="26" t="str">
        <f t="shared" si="12"/>
        <v/>
      </c>
      <c r="F32" s="26" t="str">
        <f t="shared" si="13"/>
        <v/>
      </c>
      <c r="G32" t="s">
        <v>418</v>
      </c>
      <c r="H32" t="str">
        <f t="shared" si="7"/>
        <v>LTF_REQ {CHASSIS.CHASSIS.IN0800}</v>
      </c>
      <c r="I32" s="26">
        <f t="shared" si="8"/>
        <v>32</v>
      </c>
      <c r="J32" t="s">
        <v>319</v>
      </c>
      <c r="K32" t="str">
        <f t="shared" si="9"/>
        <v>LTF_REQ(Bit_Input:=Machine_IO.CHASSIS_Inputs.EStop_Chassis_Right_Button.Alarm_Active,ID:=2030,Description:='LTF_REQ {CHASSIS.CHASSIS.IN0800}',Add_Info:=Machine_IO.CHASSIS_Inputs.EStop_Chassis_Right_Button.AlmLog.Buffer);</v>
      </c>
      <c r="L32" t="str">
        <f t="shared" si="10"/>
        <v>LTF_REQ: MGSE_AlarmBit;</v>
      </c>
    </row>
    <row r="33" spans="1:12" x14ac:dyDescent="0.25">
      <c r="A33">
        <v>2031</v>
      </c>
      <c r="B33" t="s">
        <v>93</v>
      </c>
      <c r="C33" t="s">
        <v>474</v>
      </c>
      <c r="D33" s="26">
        <f t="shared" si="11"/>
        <v>9</v>
      </c>
      <c r="E33" s="26" t="str">
        <f t="shared" si="12"/>
        <v/>
      </c>
      <c r="F33" s="26" t="str">
        <f t="shared" si="13"/>
        <v/>
      </c>
      <c r="G33" t="s">
        <v>419</v>
      </c>
      <c r="H33" t="str">
        <f t="shared" si="7"/>
        <v>LTR_REQ {CHASSIS.CHASSIS.IN0801}</v>
      </c>
      <c r="I33" s="26">
        <f t="shared" si="8"/>
        <v>32</v>
      </c>
      <c r="J33" t="s">
        <v>319</v>
      </c>
      <c r="K33" t="str">
        <f t="shared" si="9"/>
        <v>LTR_REQ(Bit_Input:=Machine_IO.CHASSIS_Inputs.EStop_Chassis_Right_Button.Alarm_Active,ID:=2031,Description:='LTR_REQ {CHASSIS.CHASSIS.IN0801}',Add_Info:=Machine_IO.CHASSIS_Inputs.EStop_Chassis_Right_Button.AlmLog.Buffer);</v>
      </c>
      <c r="L33" t="str">
        <f t="shared" si="10"/>
        <v>LTR_REQ: MGSE_AlarmBit;</v>
      </c>
    </row>
    <row r="34" spans="1:12" x14ac:dyDescent="0.25">
      <c r="A34">
        <v>2032</v>
      </c>
      <c r="B34" t="s">
        <v>93</v>
      </c>
      <c r="C34" t="s">
        <v>475</v>
      </c>
      <c r="D34" s="26" t="str">
        <f t="shared" si="11"/>
        <v/>
      </c>
      <c r="E34" s="26">
        <f t="shared" si="12"/>
        <v>9</v>
      </c>
      <c r="F34" s="26" t="str">
        <f t="shared" si="13"/>
        <v/>
      </c>
      <c r="G34" t="s">
        <v>420</v>
      </c>
      <c r="H34" t="str">
        <f t="shared" ref="H34" si="14">_xlfn.CONCAT(G34," {",B34,".",C34,"}")</f>
        <v>TAILCONVSPD_MA {CHASSIS.CHASSIS.OUT0000}</v>
      </c>
      <c r="I34" s="26">
        <f t="shared" ref="I34" si="15">LEN(H34)</f>
        <v>40</v>
      </c>
      <c r="J34" t="s">
        <v>320</v>
      </c>
      <c r="K34" t="str">
        <f t="shared" ref="K34" si="16">_xlfn.CONCAT(G34,"(Bit_Input:=",J34,".Alarm_Active",",ID:=",A34,",Description:='",H34,"',Add_Info:=",J34,".AlmLog.Buffer",");")</f>
        <v>TAILCONVSPD_MA(Bit_Input:=Machine_IO.CHASSIS_Outputs.Cabin_Panel_Active_LED.Alarm_Active,ID:=2032,Description:='TAILCONVSPD_MA {CHASSIS.CHASSIS.OUT0000}',Add_Info:=Machine_IO.CHASSIS_Outputs.Cabin_Panel_Active_LED.AlmLog.Buffer);</v>
      </c>
      <c r="L34" t="str">
        <f t="shared" ref="L34" si="17">_xlfn.CONCAT(G34,": MGSE_AlarmBit;")</f>
        <v>TAILCONVSPD_MA: MGSE_AlarmBit;</v>
      </c>
    </row>
    <row r="35" spans="1:12" x14ac:dyDescent="0.25">
      <c r="A35">
        <v>2033</v>
      </c>
      <c r="B35" t="s">
        <v>93</v>
      </c>
      <c r="C35" t="s">
        <v>476</v>
      </c>
      <c r="D35" s="26" t="str">
        <f t="shared" si="11"/>
        <v/>
      </c>
      <c r="E35" s="26">
        <f t="shared" si="12"/>
        <v>9</v>
      </c>
      <c r="F35" s="26" t="str">
        <f t="shared" si="13"/>
        <v/>
      </c>
      <c r="G35" t="s">
        <v>421</v>
      </c>
      <c r="H35" t="str">
        <f t="shared" ref="H35:H65" si="18">_xlfn.CONCAT(G35," {",B35,".",C35,"}")</f>
        <v>RHS_JACKLEGLOWER_OP {CHASSIS.CHASSIS.OUT0001}</v>
      </c>
      <c r="I35" s="26">
        <f t="shared" ref="I35:I65" si="19">LEN(H35)</f>
        <v>45</v>
      </c>
      <c r="J35" t="s">
        <v>320</v>
      </c>
      <c r="K35" t="str">
        <f t="shared" ref="K35:K65" si="20">_xlfn.CONCAT(G35,"(Bit_Input:=",J35,".Alarm_Active",",ID:=",A35,",Description:='",H35,"',Add_Info:=",J35,".AlmLog.Buffer",");")</f>
        <v>RHS_JACKLEGLOWER_OP(Bit_Input:=Machine_IO.CHASSIS_Outputs.Cabin_Panel_Active_LED.Alarm_Active,ID:=2033,Description:='RHS_JACKLEGLOWER_OP {CHASSIS.CHASSIS.OUT0001}',Add_Info:=Machine_IO.CHASSIS_Outputs.Cabin_Panel_Active_LED.AlmLog.Buffer);</v>
      </c>
      <c r="L35" t="str">
        <f t="shared" ref="L35:L65" si="21">_xlfn.CONCAT(G35,": MGSE_AlarmBit;")</f>
        <v>RHS_JACKLEGLOWER_OP: MGSE_AlarmBit;</v>
      </c>
    </row>
    <row r="36" spans="1:12" x14ac:dyDescent="0.25">
      <c r="A36">
        <v>2034</v>
      </c>
      <c r="B36" t="s">
        <v>93</v>
      </c>
      <c r="C36" t="s">
        <v>477</v>
      </c>
      <c r="D36" s="26" t="str">
        <f t="shared" si="11"/>
        <v/>
      </c>
      <c r="E36" s="26">
        <f t="shared" si="12"/>
        <v>9</v>
      </c>
      <c r="F36" s="26" t="str">
        <f t="shared" si="13"/>
        <v/>
      </c>
      <c r="G36" t="s">
        <v>422</v>
      </c>
      <c r="H36" t="str">
        <f t="shared" si="18"/>
        <v>SIDECONVSPD_MA {CHASSIS.CHASSIS.OUT0002}</v>
      </c>
      <c r="I36" s="26">
        <f t="shared" si="19"/>
        <v>40</v>
      </c>
      <c r="J36" t="s">
        <v>320</v>
      </c>
      <c r="K36" t="str">
        <f t="shared" si="20"/>
        <v>SIDECONVSPD_MA(Bit_Input:=Machine_IO.CHASSIS_Outputs.Cabin_Panel_Active_LED.Alarm_Active,ID:=2034,Description:='SIDECONVSPD_MA {CHASSIS.CHASSIS.OUT0002}',Add_Info:=Machine_IO.CHASSIS_Outputs.Cabin_Panel_Active_LED.AlmLog.Buffer);</v>
      </c>
      <c r="L36" t="str">
        <f t="shared" si="21"/>
        <v>SIDECONVSPD_MA: MGSE_AlarmBit;</v>
      </c>
    </row>
    <row r="37" spans="1:12" x14ac:dyDescent="0.25">
      <c r="A37">
        <v>2035</v>
      </c>
      <c r="B37" t="s">
        <v>93</v>
      </c>
      <c r="C37" t="s">
        <v>478</v>
      </c>
      <c r="D37" s="26" t="str">
        <f t="shared" si="11"/>
        <v/>
      </c>
      <c r="E37" s="26">
        <f t="shared" si="12"/>
        <v>9</v>
      </c>
      <c r="F37" s="26" t="str">
        <f t="shared" si="13"/>
        <v/>
      </c>
      <c r="G37" t="s">
        <v>423</v>
      </c>
      <c r="H37" t="str">
        <f t="shared" si="18"/>
        <v>LHS_JACKLEGRAISE_OP {CHASSIS.CHASSIS.OUT0003}</v>
      </c>
      <c r="I37" s="26">
        <f t="shared" si="19"/>
        <v>45</v>
      </c>
      <c r="J37" t="s">
        <v>320</v>
      </c>
      <c r="K37" t="str">
        <f t="shared" si="20"/>
        <v>LHS_JACKLEGRAISE_OP(Bit_Input:=Machine_IO.CHASSIS_Outputs.Cabin_Panel_Active_LED.Alarm_Active,ID:=2035,Description:='LHS_JACKLEGRAISE_OP {CHASSIS.CHASSIS.OUT0003}',Add_Info:=Machine_IO.CHASSIS_Outputs.Cabin_Panel_Active_LED.AlmLog.Buffer);</v>
      </c>
      <c r="L37" t="str">
        <f t="shared" si="21"/>
        <v>LHS_JACKLEGRAISE_OP: MGSE_AlarmBit;</v>
      </c>
    </row>
    <row r="38" spans="1:12" x14ac:dyDescent="0.25">
      <c r="A38">
        <v>2036</v>
      </c>
      <c r="B38" t="s">
        <v>93</v>
      </c>
      <c r="C38" t="s">
        <v>479</v>
      </c>
      <c r="D38" s="26" t="str">
        <f t="shared" si="11"/>
        <v/>
      </c>
      <c r="E38" s="26">
        <f t="shared" si="12"/>
        <v>9</v>
      </c>
      <c r="F38" s="26" t="str">
        <f t="shared" si="13"/>
        <v/>
      </c>
      <c r="G38" t="s">
        <v>424</v>
      </c>
      <c r="H38" t="str">
        <f t="shared" si="18"/>
        <v>SIDETRANSFERSPD_MA {CHASSIS.CHASSIS.OUT0004}</v>
      </c>
      <c r="I38" s="26">
        <f t="shared" si="19"/>
        <v>44</v>
      </c>
      <c r="J38" t="s">
        <v>320</v>
      </c>
      <c r="K38" t="str">
        <f t="shared" si="20"/>
        <v>SIDETRANSFERSPD_MA(Bit_Input:=Machine_IO.CHASSIS_Outputs.Cabin_Panel_Active_LED.Alarm_Active,ID:=2036,Description:='SIDETRANSFERSPD_MA {CHASSIS.CHASSIS.OUT0004}',Add_Info:=Machine_IO.CHASSIS_Outputs.Cabin_Panel_Active_LED.AlmLog.Buffer);</v>
      </c>
      <c r="L38" t="str">
        <f t="shared" si="21"/>
        <v>SIDETRANSFERSPD_MA: MGSE_AlarmBit;</v>
      </c>
    </row>
    <row r="39" spans="1:12" x14ac:dyDescent="0.25">
      <c r="A39">
        <v>2037</v>
      </c>
      <c r="B39" t="s">
        <v>93</v>
      </c>
      <c r="C39" t="s">
        <v>480</v>
      </c>
      <c r="D39" s="26" t="str">
        <f t="shared" si="11"/>
        <v/>
      </c>
      <c r="E39" s="26">
        <f t="shared" si="12"/>
        <v>9</v>
      </c>
      <c r="F39" s="26" t="str">
        <f t="shared" si="13"/>
        <v/>
      </c>
      <c r="G39" t="s">
        <v>425</v>
      </c>
      <c r="H39" t="str">
        <f t="shared" si="18"/>
        <v>LHS_JACKLEGLOWER_OP {CHASSIS.CHASSIS.OUT0005}</v>
      </c>
      <c r="I39" s="26">
        <f t="shared" si="19"/>
        <v>45</v>
      </c>
      <c r="J39" t="s">
        <v>320</v>
      </c>
      <c r="K39" t="str">
        <f t="shared" si="20"/>
        <v>LHS_JACKLEGLOWER_OP(Bit_Input:=Machine_IO.CHASSIS_Outputs.Cabin_Panel_Active_LED.Alarm_Active,ID:=2037,Description:='LHS_JACKLEGLOWER_OP {CHASSIS.CHASSIS.OUT0005}',Add_Info:=Machine_IO.CHASSIS_Outputs.Cabin_Panel_Active_LED.AlmLog.Buffer);</v>
      </c>
      <c r="L39" t="str">
        <f t="shared" si="21"/>
        <v>LHS_JACKLEGLOWER_OP: MGSE_AlarmBit;</v>
      </c>
    </row>
    <row r="40" spans="1:12" x14ac:dyDescent="0.25">
      <c r="A40">
        <v>2038</v>
      </c>
      <c r="B40" t="s">
        <v>93</v>
      </c>
      <c r="C40" t="s">
        <v>481</v>
      </c>
      <c r="D40" s="26" t="str">
        <f t="shared" si="11"/>
        <v/>
      </c>
      <c r="E40" s="26">
        <f t="shared" si="12"/>
        <v>9</v>
      </c>
      <c r="F40" s="26" t="str">
        <f t="shared" si="13"/>
        <v/>
      </c>
      <c r="G40" t="s">
        <v>426</v>
      </c>
      <c r="H40" t="str">
        <f t="shared" si="18"/>
        <v>SETUPDUMPVALVE_OP {CHASSIS.CHASSIS.OUT0006}</v>
      </c>
      <c r="I40" s="26">
        <f t="shared" si="19"/>
        <v>43</v>
      </c>
      <c r="J40" t="s">
        <v>320</v>
      </c>
      <c r="K40" t="str">
        <f t="shared" si="20"/>
        <v>SETUPDUMPVALVE_OP(Bit_Input:=Machine_IO.CHASSIS_Outputs.Cabin_Panel_Active_LED.Alarm_Active,ID:=2038,Description:='SETUPDUMPVALVE_OP {CHASSIS.CHASSIS.OUT0006}',Add_Info:=Machine_IO.CHASSIS_Outputs.Cabin_Panel_Active_LED.AlmLog.Buffer);</v>
      </c>
      <c r="L40" t="str">
        <f t="shared" si="21"/>
        <v>SETUPDUMPVALVE_OP: MGSE_AlarmBit;</v>
      </c>
    </row>
    <row r="41" spans="1:12" x14ac:dyDescent="0.25">
      <c r="A41">
        <v>2039</v>
      </c>
      <c r="B41" t="s">
        <v>93</v>
      </c>
      <c r="C41" t="s">
        <v>482</v>
      </c>
      <c r="D41" s="26" t="str">
        <f t="shared" si="11"/>
        <v/>
      </c>
      <c r="E41" s="26">
        <f t="shared" si="12"/>
        <v>9</v>
      </c>
      <c r="F41" s="26" t="str">
        <f t="shared" si="13"/>
        <v/>
      </c>
      <c r="G41" t="s">
        <v>427</v>
      </c>
      <c r="H41" t="str">
        <f t="shared" si="18"/>
        <v>COLLECTIONCONVSPD_MA {CHASSIS.CHASSIS.OUT0007}</v>
      </c>
      <c r="I41" s="26">
        <f t="shared" si="19"/>
        <v>46</v>
      </c>
      <c r="J41" t="s">
        <v>320</v>
      </c>
      <c r="K41" t="str">
        <f t="shared" si="20"/>
        <v>COLLECTIONCONVSPD_MA(Bit_Input:=Machine_IO.CHASSIS_Outputs.Cabin_Panel_Active_LED.Alarm_Active,ID:=2039,Description:='COLLECTIONCONVSPD_MA {CHASSIS.CHASSIS.OUT0007}',Add_Info:=Machine_IO.CHASSIS_Outputs.Cabin_Panel_Active_LED.AlmLog.Buffer);</v>
      </c>
      <c r="L41" t="str">
        <f t="shared" si="21"/>
        <v>COLLECTIONCONVSPD_MA: MGSE_AlarmBit;</v>
      </c>
    </row>
    <row r="42" spans="1:12" x14ac:dyDescent="0.25">
      <c r="A42">
        <v>2040</v>
      </c>
      <c r="B42" t="s">
        <v>93</v>
      </c>
      <c r="C42" t="s">
        <v>483</v>
      </c>
      <c r="D42" s="26" t="str">
        <f t="shared" si="11"/>
        <v/>
      </c>
      <c r="E42" s="26">
        <f t="shared" si="12"/>
        <v>9</v>
      </c>
      <c r="F42" s="26" t="str">
        <f t="shared" si="13"/>
        <v/>
      </c>
      <c r="G42" t="s">
        <v>428</v>
      </c>
      <c r="H42" t="str">
        <f t="shared" si="18"/>
        <v>COLLECTIONCONVON_OP {CHASSIS.CHASSIS.OUT0008}</v>
      </c>
      <c r="I42" s="26">
        <f t="shared" si="19"/>
        <v>45</v>
      </c>
      <c r="J42" t="s">
        <v>320</v>
      </c>
      <c r="K42" t="str">
        <f t="shared" si="20"/>
        <v>COLLECTIONCONVON_OP(Bit_Input:=Machine_IO.CHASSIS_Outputs.Cabin_Panel_Active_LED.Alarm_Active,ID:=2040,Description:='COLLECTIONCONVON_OP {CHASSIS.CHASSIS.OUT0008}',Add_Info:=Machine_IO.CHASSIS_Outputs.Cabin_Panel_Active_LED.AlmLog.Buffer);</v>
      </c>
      <c r="L42" t="str">
        <f t="shared" si="21"/>
        <v>COLLECTIONCONVON_OP: MGSE_AlarmBit;</v>
      </c>
    </row>
    <row r="43" spans="1:12" x14ac:dyDescent="0.25">
      <c r="A43">
        <v>2041</v>
      </c>
      <c r="B43" t="s">
        <v>93</v>
      </c>
      <c r="C43" t="s">
        <v>484</v>
      </c>
      <c r="D43" s="26" t="str">
        <f t="shared" si="11"/>
        <v/>
      </c>
      <c r="E43" s="26" t="str">
        <f t="shared" si="12"/>
        <v/>
      </c>
      <c r="F43" s="26">
        <f t="shared" si="13"/>
        <v>9</v>
      </c>
      <c r="G43" t="s">
        <v>519</v>
      </c>
      <c r="H43" t="str">
        <f t="shared" si="18"/>
        <v>SPARE_GROUP0 {CHASSIS.CHASSIS.GROUP0}</v>
      </c>
      <c r="I43" s="26">
        <f t="shared" si="19"/>
        <v>37</v>
      </c>
      <c r="J43" t="s">
        <v>320</v>
      </c>
      <c r="K43" t="str">
        <f t="shared" si="20"/>
        <v>SPARE_GROUP0(Bit_Input:=Machine_IO.CHASSIS_Outputs.Cabin_Panel_Active_LED.Alarm_Active,ID:=2041,Description:='SPARE_GROUP0 {CHASSIS.CHASSIS.GROUP0}',Add_Info:=Machine_IO.CHASSIS_Outputs.Cabin_Panel_Active_LED.AlmLog.Buffer);</v>
      </c>
      <c r="L43" t="str">
        <f t="shared" si="21"/>
        <v>SPARE_GROUP0: MGSE_AlarmBit;</v>
      </c>
    </row>
    <row r="44" spans="1:12" x14ac:dyDescent="0.25">
      <c r="A44">
        <v>2042</v>
      </c>
      <c r="B44" t="s">
        <v>93</v>
      </c>
      <c r="C44" t="s">
        <v>485</v>
      </c>
      <c r="D44" s="26" t="str">
        <f t="shared" si="11"/>
        <v/>
      </c>
      <c r="E44" s="26">
        <f t="shared" si="12"/>
        <v>9</v>
      </c>
      <c r="F44" s="26" t="str">
        <f t="shared" si="13"/>
        <v/>
      </c>
      <c r="G44" t="s">
        <v>429</v>
      </c>
      <c r="H44" t="str">
        <f t="shared" si="18"/>
        <v>DRUMSPD_MA_RAMP_LIMIT {CHASSIS.CHASSIS.OUT0100}</v>
      </c>
      <c r="I44" s="26">
        <f t="shared" si="19"/>
        <v>47</v>
      </c>
      <c r="J44" t="s">
        <v>320</v>
      </c>
      <c r="K44" t="str">
        <f t="shared" si="20"/>
        <v>DRUMSPD_MA_RAMP_LIMIT(Bit_Input:=Machine_IO.CHASSIS_Outputs.Cabin_Panel_Active_LED.Alarm_Active,ID:=2042,Description:='DRUMSPD_MA_RAMP_LIMIT {CHASSIS.CHASSIS.OUT0100}',Add_Info:=Machine_IO.CHASSIS_Outputs.Cabin_Panel_Active_LED.AlmLog.Buffer);</v>
      </c>
      <c r="L44" t="str">
        <f t="shared" si="21"/>
        <v>DRUMSPD_MA_RAMP_LIMIT: MGSE_AlarmBit;</v>
      </c>
    </row>
    <row r="45" spans="1:12" x14ac:dyDescent="0.25">
      <c r="A45">
        <v>2043</v>
      </c>
      <c r="B45" t="s">
        <v>93</v>
      </c>
      <c r="C45" t="s">
        <v>486</v>
      </c>
      <c r="D45" s="26" t="str">
        <f t="shared" si="11"/>
        <v/>
      </c>
      <c r="E45" s="26">
        <f t="shared" si="12"/>
        <v>9</v>
      </c>
      <c r="F45" s="26" t="str">
        <f t="shared" si="13"/>
        <v/>
      </c>
      <c r="G45" t="s">
        <v>430</v>
      </c>
      <c r="H45" t="str">
        <f t="shared" si="18"/>
        <v>TRACKINGMODE {CHASSIS.CHASSIS.OUT0101}</v>
      </c>
      <c r="I45" s="26">
        <f t="shared" si="19"/>
        <v>38</v>
      </c>
      <c r="J45" t="s">
        <v>320</v>
      </c>
      <c r="K45" t="str">
        <f t="shared" si="20"/>
        <v>TRACKINGMODE(Bit_Input:=Machine_IO.CHASSIS_Outputs.Cabin_Panel_Active_LED.Alarm_Active,ID:=2043,Description:='TRACKINGMODE {CHASSIS.CHASSIS.OUT0101}',Add_Info:=Machine_IO.CHASSIS_Outputs.Cabin_Panel_Active_LED.AlmLog.Buffer);</v>
      </c>
      <c r="L45" t="str">
        <f t="shared" si="21"/>
        <v>TRACKINGMODE: MGSE_AlarmBit;</v>
      </c>
    </row>
    <row r="46" spans="1:12" x14ac:dyDescent="0.25">
      <c r="A46">
        <v>2044</v>
      </c>
      <c r="B46" t="s">
        <v>93</v>
      </c>
      <c r="C46" t="s">
        <v>487</v>
      </c>
      <c r="D46" s="26" t="str">
        <f t="shared" si="11"/>
        <v/>
      </c>
      <c r="E46" s="26">
        <f t="shared" si="12"/>
        <v>9</v>
      </c>
      <c r="F46" s="26" t="str">
        <f t="shared" si="13"/>
        <v/>
      </c>
      <c r="G46" t="s">
        <v>431</v>
      </c>
      <c r="H46" t="str">
        <f t="shared" si="18"/>
        <v>FEEDERSPD_MA {CHASSIS.CHASSIS.OUT0102}</v>
      </c>
      <c r="I46" s="26">
        <f t="shared" si="19"/>
        <v>38</v>
      </c>
      <c r="J46" t="s">
        <v>320</v>
      </c>
      <c r="K46" t="str">
        <f t="shared" si="20"/>
        <v>FEEDERSPD_MA(Bit_Input:=Machine_IO.CHASSIS_Outputs.Cabin_Panel_Active_LED.Alarm_Active,ID:=2044,Description:='FEEDERSPD_MA {CHASSIS.CHASSIS.OUT0102}',Add_Info:=Machine_IO.CHASSIS_Outputs.Cabin_Panel_Active_LED.AlmLog.Buffer);</v>
      </c>
      <c r="L46" t="str">
        <f t="shared" si="21"/>
        <v>FEEDERSPD_MA: MGSE_AlarmBit;</v>
      </c>
    </row>
    <row r="47" spans="1:12" x14ac:dyDescent="0.25">
      <c r="A47">
        <v>2045</v>
      </c>
      <c r="B47" t="s">
        <v>93</v>
      </c>
      <c r="C47" t="s">
        <v>488</v>
      </c>
      <c r="D47" s="26" t="str">
        <f t="shared" si="11"/>
        <v/>
      </c>
      <c r="E47" s="26">
        <f t="shared" si="12"/>
        <v>9</v>
      </c>
      <c r="F47" s="26" t="str">
        <f t="shared" si="13"/>
        <v/>
      </c>
      <c r="G47" t="s">
        <v>432</v>
      </c>
      <c r="H47" t="str">
        <f t="shared" si="18"/>
        <v>CRANKENABLE {CHASSIS.CHASSIS.OUT0103}</v>
      </c>
      <c r="I47" s="26">
        <f t="shared" si="19"/>
        <v>37</v>
      </c>
      <c r="J47" t="s">
        <v>320</v>
      </c>
      <c r="K47" t="str">
        <f t="shared" si="20"/>
        <v>CRANKENABLE(Bit_Input:=Machine_IO.CHASSIS_Outputs.Cabin_Panel_Active_LED.Alarm_Active,ID:=2045,Description:='CRANKENABLE {CHASSIS.CHASSIS.OUT0103}',Add_Info:=Machine_IO.CHASSIS_Outputs.Cabin_Panel_Active_LED.AlmLog.Buffer);</v>
      </c>
      <c r="L47" t="str">
        <f t="shared" si="21"/>
        <v>CRANKENABLE: MGSE_AlarmBit;</v>
      </c>
    </row>
    <row r="48" spans="1:12" x14ac:dyDescent="0.25">
      <c r="A48">
        <v>2046</v>
      </c>
      <c r="B48" t="s">
        <v>93</v>
      </c>
      <c r="C48" t="s">
        <v>489</v>
      </c>
      <c r="D48" s="26" t="str">
        <f t="shared" si="11"/>
        <v/>
      </c>
      <c r="E48" s="26">
        <f t="shared" si="12"/>
        <v>9</v>
      </c>
      <c r="F48" s="26" t="str">
        <f t="shared" si="13"/>
        <v/>
      </c>
      <c r="G48" t="s">
        <v>433</v>
      </c>
      <c r="H48" t="str">
        <f t="shared" si="18"/>
        <v>DIVERTOILTOTRACK_OP {CHASSIS.CHASSIS.OUT0104}</v>
      </c>
      <c r="I48" s="26">
        <f t="shared" si="19"/>
        <v>45</v>
      </c>
      <c r="J48" t="s">
        <v>320</v>
      </c>
      <c r="K48" t="str">
        <f t="shared" si="20"/>
        <v>DIVERTOILTOTRACK_OP(Bit_Input:=Machine_IO.CHASSIS_Outputs.Cabin_Panel_Active_LED.Alarm_Active,ID:=2046,Description:='DIVERTOILTOTRACK_OP {CHASSIS.CHASSIS.OUT0104}',Add_Info:=Machine_IO.CHASSIS_Outputs.Cabin_Panel_Active_LED.AlmLog.Buffer);</v>
      </c>
      <c r="L48" t="str">
        <f t="shared" si="21"/>
        <v>DIVERTOILTOTRACK_OP: MGSE_AlarmBit;</v>
      </c>
    </row>
    <row r="49" spans="1:12" x14ac:dyDescent="0.25">
      <c r="A49">
        <v>2047</v>
      </c>
      <c r="B49" t="s">
        <v>93</v>
      </c>
      <c r="C49" t="s">
        <v>490</v>
      </c>
      <c r="D49" s="26" t="str">
        <f t="shared" ref="D49:D65" si="22">IFERROR(FIND("IN",C49,1),"")</f>
        <v/>
      </c>
      <c r="E49" s="26">
        <f t="shared" ref="E49:E65" si="23">IFERROR(FIND("OUT",C49,1),"")</f>
        <v>9</v>
      </c>
      <c r="F49" s="26" t="str">
        <f t="shared" ref="F49:F65" si="24">IFERROR(FIND("GROUP",C49,1),"")</f>
        <v/>
      </c>
      <c r="G49" t="s">
        <v>434</v>
      </c>
      <c r="H49" t="str">
        <f t="shared" si="18"/>
        <v>RHS_JACKLEGRAISE_OP {CHASSIS.CHASSIS.OUT0105}</v>
      </c>
      <c r="I49" s="26">
        <f t="shared" si="19"/>
        <v>45</v>
      </c>
      <c r="J49" t="s">
        <v>320</v>
      </c>
      <c r="K49" t="str">
        <f t="shared" si="20"/>
        <v>RHS_JACKLEGRAISE_OP(Bit_Input:=Machine_IO.CHASSIS_Outputs.Cabin_Panel_Active_LED.Alarm_Active,ID:=2047,Description:='RHS_JACKLEGRAISE_OP {CHASSIS.CHASSIS.OUT0105}',Add_Info:=Machine_IO.CHASSIS_Outputs.Cabin_Panel_Active_LED.AlmLog.Buffer);</v>
      </c>
      <c r="L49" t="str">
        <f t="shared" si="21"/>
        <v>RHS_JACKLEGRAISE_OP: MGSE_AlarmBit;</v>
      </c>
    </row>
    <row r="50" spans="1:12" x14ac:dyDescent="0.25">
      <c r="A50">
        <v>2048</v>
      </c>
      <c r="B50" t="s">
        <v>93</v>
      </c>
      <c r="C50" t="s">
        <v>491</v>
      </c>
      <c r="D50" s="26" t="str">
        <f t="shared" si="22"/>
        <v/>
      </c>
      <c r="E50" s="26">
        <f t="shared" si="23"/>
        <v>9</v>
      </c>
      <c r="F50" s="26" t="str">
        <f t="shared" si="24"/>
        <v/>
      </c>
      <c r="G50" t="s">
        <v>435</v>
      </c>
      <c r="H50" t="str">
        <f t="shared" si="18"/>
        <v>TAILCONVON_OP {CHASSIS.CHASSIS.OUT0106}</v>
      </c>
      <c r="I50" s="26">
        <f t="shared" si="19"/>
        <v>39</v>
      </c>
      <c r="J50" t="s">
        <v>320</v>
      </c>
      <c r="K50" t="str">
        <f t="shared" si="20"/>
        <v>TAILCONVON_OP(Bit_Input:=Machine_IO.CHASSIS_Outputs.Cabin_Panel_Active_LED.Alarm_Active,ID:=2048,Description:='TAILCONVON_OP {CHASSIS.CHASSIS.OUT0106}',Add_Info:=Machine_IO.CHASSIS_Outputs.Cabin_Panel_Active_LED.AlmLog.Buffer);</v>
      </c>
      <c r="L50" t="str">
        <f t="shared" si="21"/>
        <v>TAILCONVON_OP: MGSE_AlarmBit;</v>
      </c>
    </row>
    <row r="51" spans="1:12" x14ac:dyDescent="0.25">
      <c r="A51">
        <v>2049</v>
      </c>
      <c r="B51" t="s">
        <v>93</v>
      </c>
      <c r="C51" t="s">
        <v>492</v>
      </c>
      <c r="D51" s="26" t="str">
        <f t="shared" si="22"/>
        <v/>
      </c>
      <c r="E51" s="26">
        <f t="shared" si="23"/>
        <v>9</v>
      </c>
      <c r="F51" s="26" t="str">
        <f t="shared" si="24"/>
        <v/>
      </c>
      <c r="G51" t="s">
        <v>436</v>
      </c>
      <c r="H51" t="str">
        <f t="shared" si="18"/>
        <v>SIDECONVON_OP {CHASSIS.CHASSIS.OUT0107}</v>
      </c>
      <c r="I51" s="26">
        <f t="shared" si="19"/>
        <v>39</v>
      </c>
      <c r="J51" t="s">
        <v>320</v>
      </c>
      <c r="K51" t="str">
        <f t="shared" si="20"/>
        <v>SIDECONVON_OP(Bit_Input:=Machine_IO.CHASSIS_Outputs.Cabin_Panel_Active_LED.Alarm_Active,ID:=2049,Description:='SIDECONVON_OP {CHASSIS.CHASSIS.OUT0107}',Add_Info:=Machine_IO.CHASSIS_Outputs.Cabin_Panel_Active_LED.AlmLog.Buffer);</v>
      </c>
      <c r="L51" t="str">
        <f t="shared" si="21"/>
        <v>SIDECONVON_OP: MGSE_AlarmBit;</v>
      </c>
    </row>
    <row r="52" spans="1:12" x14ac:dyDescent="0.25">
      <c r="A52">
        <v>2050</v>
      </c>
      <c r="B52" t="s">
        <v>93</v>
      </c>
      <c r="C52" t="s">
        <v>493</v>
      </c>
      <c r="D52" s="26" t="str">
        <f t="shared" si="22"/>
        <v/>
      </c>
      <c r="E52" s="26">
        <f t="shared" si="23"/>
        <v>9</v>
      </c>
      <c r="F52" s="26" t="str">
        <f t="shared" si="24"/>
        <v/>
      </c>
      <c r="G52" t="s">
        <v>437</v>
      </c>
      <c r="H52" t="str">
        <f t="shared" si="18"/>
        <v>SIDETRANSFERON_OP {CHASSIS.CHASSIS.OUT0108}</v>
      </c>
      <c r="I52" s="26">
        <f t="shared" si="19"/>
        <v>43</v>
      </c>
      <c r="J52" t="s">
        <v>320</v>
      </c>
      <c r="K52" t="str">
        <f t="shared" si="20"/>
        <v>SIDETRANSFERON_OP(Bit_Input:=Machine_IO.CHASSIS_Outputs.Cabin_Panel_Active_LED.Alarm_Active,ID:=2050,Description:='SIDETRANSFERON_OP {CHASSIS.CHASSIS.OUT0108}',Add_Info:=Machine_IO.CHASSIS_Outputs.Cabin_Panel_Active_LED.AlmLog.Buffer);</v>
      </c>
      <c r="L52" t="str">
        <f t="shared" si="21"/>
        <v>SIDETRANSFERON_OP: MGSE_AlarmBit;</v>
      </c>
    </row>
    <row r="53" spans="1:12" x14ac:dyDescent="0.25">
      <c r="A53">
        <v>2051</v>
      </c>
      <c r="B53" t="s">
        <v>93</v>
      </c>
      <c r="C53" t="s">
        <v>494</v>
      </c>
      <c r="D53" s="26" t="str">
        <f t="shared" si="22"/>
        <v/>
      </c>
      <c r="E53" s="26" t="str">
        <f t="shared" si="23"/>
        <v/>
      </c>
      <c r="F53" s="26">
        <f t="shared" si="24"/>
        <v>9</v>
      </c>
      <c r="G53" t="s">
        <v>520</v>
      </c>
      <c r="H53" t="str">
        <f t="shared" si="18"/>
        <v>SPARE_GROUP1 {CHASSIS.CHASSIS.GROUP1}</v>
      </c>
      <c r="I53" s="26">
        <f t="shared" si="19"/>
        <v>37</v>
      </c>
      <c r="J53" t="s">
        <v>320</v>
      </c>
      <c r="K53" t="str">
        <f t="shared" si="20"/>
        <v>SPARE_GROUP1(Bit_Input:=Machine_IO.CHASSIS_Outputs.Cabin_Panel_Active_LED.Alarm_Active,ID:=2051,Description:='SPARE_GROUP1 {CHASSIS.CHASSIS.GROUP1}',Add_Info:=Machine_IO.CHASSIS_Outputs.Cabin_Panel_Active_LED.AlmLog.Buffer);</v>
      </c>
      <c r="L53" t="str">
        <f t="shared" si="21"/>
        <v>SPARE_GROUP1: MGSE_AlarmBit;</v>
      </c>
    </row>
    <row r="54" spans="1:12" x14ac:dyDescent="0.25">
      <c r="A54">
        <v>2052</v>
      </c>
      <c r="B54" t="s">
        <v>93</v>
      </c>
      <c r="C54" t="s">
        <v>495</v>
      </c>
      <c r="D54" s="26" t="str">
        <f t="shared" si="22"/>
        <v/>
      </c>
      <c r="E54" s="26">
        <f t="shared" si="23"/>
        <v>9</v>
      </c>
      <c r="F54" s="26" t="str">
        <f t="shared" si="24"/>
        <v/>
      </c>
      <c r="G54" t="s">
        <v>438</v>
      </c>
      <c r="H54" t="str">
        <f t="shared" si="18"/>
        <v>LEFTTRACKDIVERT_OP {CHASSIS.CHASSIS.OUT0200}</v>
      </c>
      <c r="I54" s="26">
        <f t="shared" si="19"/>
        <v>44</v>
      </c>
      <c r="J54" t="s">
        <v>320</v>
      </c>
      <c r="K54" t="str">
        <f t="shared" si="20"/>
        <v>LEFTTRACKDIVERT_OP(Bit_Input:=Machine_IO.CHASSIS_Outputs.Cabin_Panel_Active_LED.Alarm_Active,ID:=2052,Description:='LEFTTRACKDIVERT_OP {CHASSIS.CHASSIS.OUT0200}',Add_Info:=Machine_IO.CHASSIS_Outputs.Cabin_Panel_Active_LED.AlmLog.Buffer);</v>
      </c>
      <c r="L54" t="str">
        <f t="shared" si="21"/>
        <v>LEFTTRACKDIVERT_OP: MGSE_AlarmBit;</v>
      </c>
    </row>
    <row r="55" spans="1:12" x14ac:dyDescent="0.25">
      <c r="A55">
        <v>2053</v>
      </c>
      <c r="B55" t="s">
        <v>93</v>
      </c>
      <c r="C55" t="s">
        <v>496</v>
      </c>
      <c r="D55" s="26" t="str">
        <f t="shared" si="22"/>
        <v/>
      </c>
      <c r="E55" s="26">
        <f t="shared" si="23"/>
        <v>9</v>
      </c>
      <c r="F55" s="26" t="str">
        <f t="shared" si="24"/>
        <v/>
      </c>
      <c r="G55" t="s">
        <v>394</v>
      </c>
      <c r="H55" t="str">
        <f t="shared" si="18"/>
        <v>LTF_OP {CHASSIS.CHASSIS.OUT0201}</v>
      </c>
      <c r="I55" s="26">
        <f t="shared" si="19"/>
        <v>32</v>
      </c>
      <c r="J55" t="s">
        <v>320</v>
      </c>
      <c r="K55" t="str">
        <f t="shared" si="20"/>
        <v>LTF_OP(Bit_Input:=Machine_IO.CHASSIS_Outputs.Cabin_Panel_Active_LED.Alarm_Active,ID:=2053,Description:='LTF_OP {CHASSIS.CHASSIS.OUT0201}',Add_Info:=Machine_IO.CHASSIS_Outputs.Cabin_Panel_Active_LED.AlmLog.Buffer);</v>
      </c>
      <c r="L55" t="str">
        <f t="shared" si="21"/>
        <v>LTF_OP: MGSE_AlarmBit;</v>
      </c>
    </row>
    <row r="56" spans="1:12" x14ac:dyDescent="0.25">
      <c r="A56">
        <v>2054</v>
      </c>
      <c r="B56" t="s">
        <v>93</v>
      </c>
      <c r="C56" t="s">
        <v>497</v>
      </c>
      <c r="D56" s="26" t="str">
        <f t="shared" si="22"/>
        <v/>
      </c>
      <c r="E56" s="26">
        <f t="shared" si="23"/>
        <v>9</v>
      </c>
      <c r="F56" s="26" t="str">
        <f t="shared" si="24"/>
        <v/>
      </c>
      <c r="G56" t="s">
        <v>395</v>
      </c>
      <c r="H56" t="str">
        <f t="shared" si="18"/>
        <v>LTR_OP {CHASSIS.CHASSIS.OUT0202}</v>
      </c>
      <c r="I56" s="26">
        <f t="shared" si="19"/>
        <v>32</v>
      </c>
      <c r="J56" t="s">
        <v>320</v>
      </c>
      <c r="K56" t="str">
        <f t="shared" si="20"/>
        <v>LTR_OP(Bit_Input:=Machine_IO.CHASSIS_Outputs.Cabin_Panel_Active_LED.Alarm_Active,ID:=2054,Description:='LTR_OP {CHASSIS.CHASSIS.OUT0202}',Add_Info:=Machine_IO.CHASSIS_Outputs.Cabin_Panel_Active_LED.AlmLog.Buffer);</v>
      </c>
      <c r="L56" t="str">
        <f t="shared" si="21"/>
        <v>LTR_OP: MGSE_AlarmBit;</v>
      </c>
    </row>
    <row r="57" spans="1:12" x14ac:dyDescent="0.25">
      <c r="A57">
        <v>2055</v>
      </c>
      <c r="B57" t="s">
        <v>93</v>
      </c>
      <c r="C57" t="s">
        <v>498</v>
      </c>
      <c r="D57" s="26" t="str">
        <f t="shared" si="22"/>
        <v/>
      </c>
      <c r="E57" s="26">
        <f t="shared" si="23"/>
        <v>9</v>
      </c>
      <c r="F57" s="26" t="str">
        <f t="shared" si="24"/>
        <v/>
      </c>
      <c r="G57" t="s">
        <v>439</v>
      </c>
      <c r="H57" t="str">
        <f t="shared" si="18"/>
        <v>RIGHTTRACKDIVERT_OP {CHASSIS.CHASSIS.OUT0203}</v>
      </c>
      <c r="I57" s="26">
        <f t="shared" si="19"/>
        <v>45</v>
      </c>
      <c r="J57" t="s">
        <v>320</v>
      </c>
      <c r="K57" t="str">
        <f t="shared" si="20"/>
        <v>RIGHTTRACKDIVERT_OP(Bit_Input:=Machine_IO.CHASSIS_Outputs.Cabin_Panel_Active_LED.Alarm_Active,ID:=2055,Description:='RIGHTTRACKDIVERT_OP {CHASSIS.CHASSIS.OUT0203}',Add_Info:=Machine_IO.CHASSIS_Outputs.Cabin_Panel_Active_LED.AlmLog.Buffer);</v>
      </c>
      <c r="L57" t="str">
        <f t="shared" si="21"/>
        <v>RIGHTTRACKDIVERT_OP: MGSE_AlarmBit;</v>
      </c>
    </row>
    <row r="58" spans="1:12" x14ac:dyDescent="0.25">
      <c r="A58">
        <v>2056</v>
      </c>
      <c r="B58" t="s">
        <v>93</v>
      </c>
      <c r="C58" t="s">
        <v>499</v>
      </c>
      <c r="D58" s="26" t="str">
        <f t="shared" si="22"/>
        <v/>
      </c>
      <c r="E58" s="26">
        <f t="shared" si="23"/>
        <v>9</v>
      </c>
      <c r="F58" s="26" t="str">
        <f t="shared" si="24"/>
        <v/>
      </c>
      <c r="G58" t="s">
        <v>397</v>
      </c>
      <c r="H58" t="str">
        <f t="shared" si="18"/>
        <v>RTF_OP {CHASSIS.CHASSIS.OUT0204}</v>
      </c>
      <c r="I58" s="26">
        <f t="shared" si="19"/>
        <v>32</v>
      </c>
      <c r="J58" t="s">
        <v>320</v>
      </c>
      <c r="K58" t="str">
        <f t="shared" si="20"/>
        <v>RTF_OP(Bit_Input:=Machine_IO.CHASSIS_Outputs.Cabin_Panel_Active_LED.Alarm_Active,ID:=2056,Description:='RTF_OP {CHASSIS.CHASSIS.OUT0204}',Add_Info:=Machine_IO.CHASSIS_Outputs.Cabin_Panel_Active_LED.AlmLog.Buffer);</v>
      </c>
      <c r="L58" t="str">
        <f t="shared" si="21"/>
        <v>RTF_OP: MGSE_AlarmBit;</v>
      </c>
    </row>
    <row r="59" spans="1:12" x14ac:dyDescent="0.25">
      <c r="A59">
        <v>2057</v>
      </c>
      <c r="B59" t="s">
        <v>93</v>
      </c>
      <c r="C59" t="s">
        <v>500</v>
      </c>
      <c r="D59" s="26" t="str">
        <f t="shared" si="22"/>
        <v/>
      </c>
      <c r="E59" s="26">
        <f t="shared" si="23"/>
        <v>9</v>
      </c>
      <c r="F59" s="26" t="str">
        <f t="shared" si="24"/>
        <v/>
      </c>
      <c r="G59" t="s">
        <v>398</v>
      </c>
      <c r="H59" t="str">
        <f t="shared" si="18"/>
        <v>RTR_OP {CHASSIS.CHASSIS.OUT0205}</v>
      </c>
      <c r="I59" s="26">
        <f t="shared" si="19"/>
        <v>32</v>
      </c>
      <c r="J59" t="s">
        <v>320</v>
      </c>
      <c r="K59" t="str">
        <f t="shared" si="20"/>
        <v>RTR_OP(Bit_Input:=Machine_IO.CHASSIS_Outputs.Cabin_Panel_Active_LED.Alarm_Active,ID:=2057,Description:='RTR_OP {CHASSIS.CHASSIS.OUT0205}',Add_Info:=Machine_IO.CHASSIS_Outputs.Cabin_Panel_Active_LED.AlmLog.Buffer);</v>
      </c>
      <c r="L59" t="str">
        <f t="shared" si="21"/>
        <v>RTR_OP: MGSE_AlarmBit;</v>
      </c>
    </row>
    <row r="60" spans="1:12" x14ac:dyDescent="0.25">
      <c r="A60">
        <v>2058</v>
      </c>
      <c r="B60" t="s">
        <v>93</v>
      </c>
      <c r="C60" t="s">
        <v>501</v>
      </c>
      <c r="D60" s="26" t="str">
        <f t="shared" si="22"/>
        <v/>
      </c>
      <c r="E60" s="26">
        <f t="shared" si="23"/>
        <v>9</v>
      </c>
      <c r="F60" s="26" t="str">
        <f t="shared" si="24"/>
        <v/>
      </c>
      <c r="G60" t="s">
        <v>440</v>
      </c>
      <c r="H60" t="str">
        <f t="shared" si="18"/>
        <v>DRUMONOFF_OP {CHASSIS.CHASSIS.OUT0206}</v>
      </c>
      <c r="I60" s="26">
        <f t="shared" si="19"/>
        <v>38</v>
      </c>
      <c r="J60" t="s">
        <v>320</v>
      </c>
      <c r="K60" t="str">
        <f t="shared" si="20"/>
        <v>DRUMONOFF_OP(Bit_Input:=Machine_IO.CHASSIS_Outputs.Cabin_Panel_Active_LED.Alarm_Active,ID:=2058,Description:='DRUMONOFF_OP {CHASSIS.CHASSIS.OUT0206}',Add_Info:=Machine_IO.CHASSIS_Outputs.Cabin_Panel_Active_LED.AlmLog.Buffer);</v>
      </c>
      <c r="L60" t="str">
        <f t="shared" si="21"/>
        <v>DRUMONOFF_OP: MGSE_AlarmBit;</v>
      </c>
    </row>
    <row r="61" spans="1:12" x14ac:dyDescent="0.25">
      <c r="A61">
        <v>2059</v>
      </c>
      <c r="B61" t="s">
        <v>93</v>
      </c>
      <c r="C61" t="s">
        <v>502</v>
      </c>
      <c r="D61" s="26" t="str">
        <f t="shared" si="22"/>
        <v/>
      </c>
      <c r="E61" s="26">
        <f t="shared" si="23"/>
        <v>9</v>
      </c>
      <c r="F61" s="26" t="str">
        <f t="shared" si="24"/>
        <v/>
      </c>
      <c r="G61" t="s">
        <v>441</v>
      </c>
      <c r="H61" t="str">
        <f t="shared" si="18"/>
        <v>FEEDERONOFF_OP {CHASSIS.CHASSIS.OUT0207}</v>
      </c>
      <c r="I61" s="26">
        <f t="shared" si="19"/>
        <v>40</v>
      </c>
      <c r="J61" t="s">
        <v>320</v>
      </c>
      <c r="K61" t="str">
        <f t="shared" si="20"/>
        <v>FEEDERONOFF_OP(Bit_Input:=Machine_IO.CHASSIS_Outputs.Cabin_Panel_Active_LED.Alarm_Active,ID:=2059,Description:='FEEDERONOFF_OP {CHASSIS.CHASSIS.OUT0207}',Add_Info:=Machine_IO.CHASSIS_Outputs.Cabin_Panel_Active_LED.AlmLog.Buffer);</v>
      </c>
      <c r="L61" t="str">
        <f t="shared" si="21"/>
        <v>FEEDERONOFF_OP: MGSE_AlarmBit;</v>
      </c>
    </row>
    <row r="62" spans="1:12" x14ac:dyDescent="0.25">
      <c r="A62">
        <v>2060</v>
      </c>
      <c r="B62" t="s">
        <v>93</v>
      </c>
      <c r="C62" t="s">
        <v>503</v>
      </c>
      <c r="D62" s="26" t="str">
        <f t="shared" si="22"/>
        <v/>
      </c>
      <c r="E62" s="26">
        <f t="shared" si="23"/>
        <v>9</v>
      </c>
      <c r="F62" s="26" t="str">
        <f t="shared" si="24"/>
        <v/>
      </c>
      <c r="G62" t="s">
        <v>442</v>
      </c>
      <c r="H62" t="str">
        <f t="shared" si="18"/>
        <v>ECUENABLE {CHASSIS.CHASSIS.OUT0208}</v>
      </c>
      <c r="I62" s="26">
        <f t="shared" si="19"/>
        <v>35</v>
      </c>
      <c r="J62" t="s">
        <v>320</v>
      </c>
      <c r="K62" t="str">
        <f t="shared" si="20"/>
        <v>ECUENABLE(Bit_Input:=Machine_IO.CHASSIS_Outputs.Cabin_Panel_Active_LED.Alarm_Active,ID:=2060,Description:='ECUENABLE {CHASSIS.CHASSIS.OUT0208}',Add_Info:=Machine_IO.CHASSIS_Outputs.Cabin_Panel_Active_LED.AlmLog.Buffer);</v>
      </c>
      <c r="L62" t="str">
        <f t="shared" si="21"/>
        <v>ECUENABLE: MGSE_AlarmBit;</v>
      </c>
    </row>
    <row r="63" spans="1:12" x14ac:dyDescent="0.25">
      <c r="A63">
        <v>2061</v>
      </c>
      <c r="B63" t="s">
        <v>93</v>
      </c>
      <c r="C63" t="s">
        <v>504</v>
      </c>
      <c r="D63" s="26" t="str">
        <f t="shared" si="22"/>
        <v/>
      </c>
      <c r="E63" s="26" t="str">
        <f t="shared" si="23"/>
        <v/>
      </c>
      <c r="F63" s="26">
        <f t="shared" si="24"/>
        <v>9</v>
      </c>
      <c r="G63" t="s">
        <v>521</v>
      </c>
      <c r="H63" t="str">
        <f t="shared" si="18"/>
        <v>SPARE_GROUP2 {CHASSIS.CHASSIS.GROUP2}</v>
      </c>
      <c r="I63" s="26">
        <f t="shared" si="19"/>
        <v>37</v>
      </c>
      <c r="J63" t="s">
        <v>320</v>
      </c>
      <c r="K63" t="str">
        <f t="shared" si="20"/>
        <v>SPARE_GROUP2(Bit_Input:=Machine_IO.CHASSIS_Outputs.Cabin_Panel_Active_LED.Alarm_Active,ID:=2061,Description:='SPARE_GROUP2 {CHASSIS.CHASSIS.GROUP2}',Add_Info:=Machine_IO.CHASSIS_Outputs.Cabin_Panel_Active_LED.AlmLog.Buffer);</v>
      </c>
      <c r="L63" t="str">
        <f t="shared" si="21"/>
        <v>SPARE_GROUP2: MGSE_AlarmBit;</v>
      </c>
    </row>
    <row r="64" spans="1:12" x14ac:dyDescent="0.25">
      <c r="A64">
        <v>2062</v>
      </c>
      <c r="B64" t="s">
        <v>93</v>
      </c>
      <c r="C64" t="s">
        <v>505</v>
      </c>
      <c r="D64" s="26" t="str">
        <f t="shared" si="22"/>
        <v/>
      </c>
      <c r="E64" s="26">
        <f t="shared" si="23"/>
        <v>9</v>
      </c>
      <c r="F64" s="26" t="str">
        <f t="shared" si="24"/>
        <v/>
      </c>
      <c r="G64" t="s">
        <v>522</v>
      </c>
      <c r="H64" t="str">
        <f t="shared" si="18"/>
        <v>SPARE_OUT3000 {CHASSIS.CHASSIS.OUT3000}</v>
      </c>
      <c r="I64" s="26">
        <f t="shared" si="19"/>
        <v>39</v>
      </c>
      <c r="J64" t="s">
        <v>320</v>
      </c>
      <c r="K64" t="str">
        <f t="shared" si="20"/>
        <v>SPARE_OUT3000(Bit_Input:=Machine_IO.CHASSIS_Outputs.Cabin_Panel_Active_LED.Alarm_Active,ID:=2062,Description:='SPARE_OUT3000 {CHASSIS.CHASSIS.OUT3000}',Add_Info:=Machine_IO.CHASSIS_Outputs.Cabin_Panel_Active_LED.AlmLog.Buffer);</v>
      </c>
      <c r="L64" t="str">
        <f t="shared" si="21"/>
        <v>SPARE_OUT3000: MGSE_AlarmBit;</v>
      </c>
    </row>
    <row r="65" spans="1:12" x14ac:dyDescent="0.25">
      <c r="A65">
        <v>2063</v>
      </c>
      <c r="B65" t="s">
        <v>93</v>
      </c>
      <c r="C65" t="s">
        <v>506</v>
      </c>
      <c r="D65" s="26" t="str">
        <f t="shared" si="22"/>
        <v/>
      </c>
      <c r="E65" s="26">
        <f t="shared" si="23"/>
        <v>9</v>
      </c>
      <c r="F65" s="26" t="str">
        <f t="shared" si="24"/>
        <v/>
      </c>
      <c r="G65" t="s">
        <v>523</v>
      </c>
      <c r="H65" t="str">
        <f t="shared" si="18"/>
        <v>SPARE_OUT3001 {CHASSIS.CHASSIS.OUT3001}</v>
      </c>
      <c r="I65" s="26">
        <f t="shared" si="19"/>
        <v>39</v>
      </c>
      <c r="J65" t="s">
        <v>320</v>
      </c>
      <c r="K65" t="str">
        <f t="shared" si="20"/>
        <v>SPARE_OUT3001(Bit_Input:=Machine_IO.CHASSIS_Outputs.Cabin_Panel_Active_LED.Alarm_Active,ID:=2063,Description:='SPARE_OUT3001 {CHASSIS.CHASSIS.OUT3001}',Add_Info:=Machine_IO.CHASSIS_Outputs.Cabin_Panel_Active_LED.AlmLog.Buffer);</v>
      </c>
      <c r="L65" t="str">
        <f t="shared" si="21"/>
        <v>SPARE_OUT3001: MGSE_AlarmBit;</v>
      </c>
    </row>
  </sheetData>
  <autoFilter ref="A1:K48" xr:uid="{41B17012-44D7-48B2-87FC-FA2A9133EF8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131"/>
  <sheetViews>
    <sheetView zoomScaleNormal="100" workbookViewId="0">
      <selection activeCell="C85" sqref="C85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600</v>
      </c>
      <c r="C1" s="34" t="s">
        <v>601</v>
      </c>
      <c r="D1" s="34" t="s">
        <v>599</v>
      </c>
      <c r="E1" s="34" t="s">
        <v>641</v>
      </c>
    </row>
    <row r="2" spans="1:5" hidden="1" x14ac:dyDescent="0.25">
      <c r="A2">
        <v>1</v>
      </c>
      <c r="B2" t="s">
        <v>573</v>
      </c>
      <c r="C2" t="s">
        <v>574</v>
      </c>
      <c r="D2" t="s">
        <v>589</v>
      </c>
    </row>
    <row r="3" spans="1:5" hidden="1" x14ac:dyDescent="0.25">
      <c r="A3">
        <v>2</v>
      </c>
      <c r="B3" t="s">
        <v>573</v>
      </c>
      <c r="C3" t="s">
        <v>626</v>
      </c>
      <c r="D3" t="s">
        <v>590</v>
      </c>
    </row>
    <row r="4" spans="1:5" hidden="1" x14ac:dyDescent="0.25">
      <c r="A4">
        <v>3</v>
      </c>
      <c r="B4" t="s">
        <v>573</v>
      </c>
      <c r="C4" t="s">
        <v>624</v>
      </c>
      <c r="D4" t="s">
        <v>589</v>
      </c>
    </row>
    <row r="5" spans="1:5" hidden="1" x14ac:dyDescent="0.25">
      <c r="A5">
        <v>4</v>
      </c>
      <c r="B5" t="s">
        <v>573</v>
      </c>
      <c r="C5" t="s">
        <v>621</v>
      </c>
      <c r="D5" t="s">
        <v>654</v>
      </c>
    </row>
    <row r="6" spans="1:5" hidden="1" x14ac:dyDescent="0.25">
      <c r="A6">
        <v>5</v>
      </c>
      <c r="B6" t="s">
        <v>573</v>
      </c>
      <c r="C6" t="s">
        <v>625</v>
      </c>
      <c r="D6" t="s">
        <v>654</v>
      </c>
      <c r="E6" t="s">
        <v>623</v>
      </c>
    </row>
    <row r="7" spans="1:5" hidden="1" x14ac:dyDescent="0.25">
      <c r="A7">
        <v>6</v>
      </c>
      <c r="B7" s="33" t="s">
        <v>642</v>
      </c>
      <c r="C7" s="33" t="s">
        <v>560</v>
      </c>
      <c r="D7" t="s">
        <v>589</v>
      </c>
    </row>
    <row r="8" spans="1:5" hidden="1" x14ac:dyDescent="0.25">
      <c r="A8">
        <v>7</v>
      </c>
      <c r="B8" t="s">
        <v>557</v>
      </c>
      <c r="C8" t="s">
        <v>542</v>
      </c>
      <c r="D8" t="s">
        <v>589</v>
      </c>
    </row>
    <row r="9" spans="1:5" hidden="1" x14ac:dyDescent="0.25">
      <c r="A9">
        <v>8</v>
      </c>
      <c r="B9" t="s">
        <v>557</v>
      </c>
      <c r="C9" t="s">
        <v>576</v>
      </c>
      <c r="D9" t="s">
        <v>589</v>
      </c>
    </row>
    <row r="10" spans="1:5" hidden="1" x14ac:dyDescent="0.25">
      <c r="A10">
        <v>9</v>
      </c>
      <c r="B10" t="s">
        <v>557</v>
      </c>
      <c r="C10" t="s">
        <v>575</v>
      </c>
      <c r="D10" t="s">
        <v>589</v>
      </c>
    </row>
    <row r="11" spans="1:5" hidden="1" x14ac:dyDescent="0.25">
      <c r="A11">
        <v>10</v>
      </c>
      <c r="B11" t="s">
        <v>557</v>
      </c>
      <c r="C11" t="s">
        <v>543</v>
      </c>
      <c r="D11" t="s">
        <v>589</v>
      </c>
    </row>
    <row r="12" spans="1:5" hidden="1" x14ac:dyDescent="0.25">
      <c r="A12">
        <v>11</v>
      </c>
      <c r="B12" t="s">
        <v>557</v>
      </c>
      <c r="C12" t="s">
        <v>558</v>
      </c>
      <c r="D12" t="s">
        <v>589</v>
      </c>
    </row>
    <row r="13" spans="1:5" hidden="1" x14ac:dyDescent="0.25">
      <c r="A13">
        <v>12</v>
      </c>
      <c r="B13" t="s">
        <v>557</v>
      </c>
      <c r="C13" t="s">
        <v>559</v>
      </c>
      <c r="D13" t="s">
        <v>589</v>
      </c>
    </row>
    <row r="14" spans="1:5" hidden="1" x14ac:dyDescent="0.25">
      <c r="A14">
        <v>13</v>
      </c>
      <c r="B14" t="s">
        <v>557</v>
      </c>
      <c r="C14" t="s">
        <v>561</v>
      </c>
      <c r="D14" t="s">
        <v>590</v>
      </c>
    </row>
    <row r="15" spans="1:5" hidden="1" x14ac:dyDescent="0.25">
      <c r="A15">
        <v>14</v>
      </c>
      <c r="B15" t="s">
        <v>557</v>
      </c>
      <c r="C15" t="s">
        <v>581</v>
      </c>
      <c r="D15" t="s">
        <v>589</v>
      </c>
    </row>
    <row r="16" spans="1:5" hidden="1" x14ac:dyDescent="0.25">
      <c r="A16">
        <v>15</v>
      </c>
      <c r="B16" t="s">
        <v>562</v>
      </c>
      <c r="C16" t="s">
        <v>620</v>
      </c>
      <c r="D16" t="s">
        <v>589</v>
      </c>
    </row>
    <row r="17" spans="1:5" hidden="1" x14ac:dyDescent="0.25">
      <c r="A17">
        <v>16</v>
      </c>
      <c r="B17" s="33" t="s">
        <v>573</v>
      </c>
      <c r="C17" s="33" t="s">
        <v>622</v>
      </c>
      <c r="D17" t="s">
        <v>589</v>
      </c>
    </row>
    <row r="18" spans="1:5" hidden="1" x14ac:dyDescent="0.25">
      <c r="A18">
        <v>17</v>
      </c>
      <c r="B18" t="s">
        <v>563</v>
      </c>
      <c r="C18" t="s">
        <v>544</v>
      </c>
      <c r="D18" t="s">
        <v>589</v>
      </c>
    </row>
    <row r="19" spans="1:5" hidden="1" x14ac:dyDescent="0.25">
      <c r="A19">
        <v>18</v>
      </c>
      <c r="B19" t="s">
        <v>573</v>
      </c>
      <c r="C19" t="s">
        <v>640</v>
      </c>
      <c r="D19" t="s">
        <v>589</v>
      </c>
      <c r="E19" t="s">
        <v>655</v>
      </c>
    </row>
    <row r="20" spans="1:5" hidden="1" x14ac:dyDescent="0.25">
      <c r="A20">
        <v>19</v>
      </c>
      <c r="B20" t="s">
        <v>564</v>
      </c>
      <c r="C20" t="s">
        <v>555</v>
      </c>
      <c r="D20" t="s">
        <v>589</v>
      </c>
    </row>
    <row r="21" spans="1:5" hidden="1" x14ac:dyDescent="0.25">
      <c r="A21">
        <v>20</v>
      </c>
      <c r="B21" t="s">
        <v>564</v>
      </c>
      <c r="C21" t="s">
        <v>545</v>
      </c>
      <c r="D21" t="s">
        <v>589</v>
      </c>
    </row>
    <row r="22" spans="1:5" hidden="1" x14ac:dyDescent="0.25">
      <c r="A22">
        <v>21</v>
      </c>
      <c r="B22" t="s">
        <v>564</v>
      </c>
      <c r="C22" t="s">
        <v>546</v>
      </c>
      <c r="D22" t="s">
        <v>590</v>
      </c>
    </row>
    <row r="23" spans="1:5" hidden="1" x14ac:dyDescent="0.25">
      <c r="A23">
        <v>22</v>
      </c>
      <c r="B23" t="s">
        <v>573</v>
      </c>
      <c r="C23" t="s">
        <v>583</v>
      </c>
      <c r="D23" t="s">
        <v>589</v>
      </c>
      <c r="E23" t="s">
        <v>629</v>
      </c>
    </row>
    <row r="24" spans="1:5" hidden="1" x14ac:dyDescent="0.25">
      <c r="A24">
        <v>23</v>
      </c>
      <c r="B24" t="s">
        <v>565</v>
      </c>
      <c r="C24" t="s">
        <v>556</v>
      </c>
      <c r="D24" t="s">
        <v>590</v>
      </c>
    </row>
    <row r="25" spans="1:5" hidden="1" x14ac:dyDescent="0.25">
      <c r="A25">
        <v>24</v>
      </c>
      <c r="B25" t="s">
        <v>565</v>
      </c>
      <c r="C25" t="s">
        <v>566</v>
      </c>
      <c r="D25" t="s">
        <v>590</v>
      </c>
    </row>
    <row r="26" spans="1:5" hidden="1" x14ac:dyDescent="0.25">
      <c r="A26">
        <v>25</v>
      </c>
      <c r="B26" t="s">
        <v>572</v>
      </c>
      <c r="C26" t="s">
        <v>547</v>
      </c>
      <c r="D26" t="s">
        <v>589</v>
      </c>
    </row>
    <row r="27" spans="1:5" hidden="1" x14ac:dyDescent="0.25">
      <c r="A27">
        <v>26</v>
      </c>
      <c r="B27" t="s">
        <v>572</v>
      </c>
      <c r="C27" t="s">
        <v>548</v>
      </c>
      <c r="D27" t="s">
        <v>589</v>
      </c>
    </row>
    <row r="28" spans="1:5" hidden="1" x14ac:dyDescent="0.25">
      <c r="A28">
        <v>27</v>
      </c>
      <c r="B28" t="s">
        <v>567</v>
      </c>
      <c r="C28" t="s">
        <v>568</v>
      </c>
      <c r="D28" t="s">
        <v>589</v>
      </c>
      <c r="E28" t="s">
        <v>637</v>
      </c>
    </row>
    <row r="29" spans="1:5" hidden="1" x14ac:dyDescent="0.25">
      <c r="A29">
        <v>28</v>
      </c>
      <c r="B29" t="s">
        <v>569</v>
      </c>
      <c r="C29" t="s">
        <v>570</v>
      </c>
      <c r="D29" t="s">
        <v>589</v>
      </c>
    </row>
    <row r="30" spans="1:5" x14ac:dyDescent="0.25">
      <c r="A30">
        <v>29</v>
      </c>
      <c r="B30" t="s">
        <v>569</v>
      </c>
      <c r="C30" t="s">
        <v>571</v>
      </c>
      <c r="E30" t="s">
        <v>866</v>
      </c>
    </row>
    <row r="31" spans="1:5" hidden="1" x14ac:dyDescent="0.25">
      <c r="A31">
        <v>30</v>
      </c>
      <c r="B31" t="s">
        <v>569</v>
      </c>
      <c r="C31" t="s">
        <v>674</v>
      </c>
      <c r="D31" t="s">
        <v>589</v>
      </c>
      <c r="E31" t="s">
        <v>675</v>
      </c>
    </row>
    <row r="32" spans="1:5" hidden="1" x14ac:dyDescent="0.25">
      <c r="A32">
        <v>31</v>
      </c>
      <c r="B32" t="s">
        <v>577</v>
      </c>
      <c r="C32" t="s">
        <v>578</v>
      </c>
      <c r="D32" t="s">
        <v>589</v>
      </c>
    </row>
    <row r="33" spans="1:5" s="33" customFormat="1" hidden="1" x14ac:dyDescent="0.25">
      <c r="A33">
        <v>32</v>
      </c>
      <c r="B33" s="33" t="s">
        <v>579</v>
      </c>
      <c r="C33" s="33" t="s">
        <v>580</v>
      </c>
      <c r="D33" s="33" t="s">
        <v>589</v>
      </c>
      <c r="E33" s="33" t="s">
        <v>638</v>
      </c>
    </row>
    <row r="34" spans="1:5" hidden="1" x14ac:dyDescent="0.25">
      <c r="A34">
        <v>33</v>
      </c>
      <c r="B34" t="s">
        <v>582</v>
      </c>
      <c r="C34" t="s">
        <v>639</v>
      </c>
      <c r="D34" t="s">
        <v>589</v>
      </c>
      <c r="E34" t="s">
        <v>676</v>
      </c>
    </row>
    <row r="35" spans="1:5" hidden="1" x14ac:dyDescent="0.25">
      <c r="A35">
        <v>34</v>
      </c>
      <c r="B35" t="s">
        <v>573</v>
      </c>
      <c r="C35" t="s">
        <v>583</v>
      </c>
      <c r="D35" t="s">
        <v>589</v>
      </c>
      <c r="E35" t="s">
        <v>629</v>
      </c>
    </row>
    <row r="36" spans="1:5" hidden="1" x14ac:dyDescent="0.25">
      <c r="A36">
        <v>35</v>
      </c>
      <c r="B36" t="s">
        <v>584</v>
      </c>
      <c r="C36" t="s">
        <v>591</v>
      </c>
      <c r="D36" t="s">
        <v>590</v>
      </c>
    </row>
    <row r="37" spans="1:5" hidden="1" x14ac:dyDescent="0.25">
      <c r="A37">
        <v>36</v>
      </c>
      <c r="B37" t="s">
        <v>586</v>
      </c>
      <c r="C37" t="s">
        <v>585</v>
      </c>
      <c r="D37" t="s">
        <v>654</v>
      </c>
    </row>
    <row r="38" spans="1:5" hidden="1" x14ac:dyDescent="0.25">
      <c r="A38">
        <v>37</v>
      </c>
      <c r="B38" t="s">
        <v>587</v>
      </c>
      <c r="C38" t="s">
        <v>588</v>
      </c>
      <c r="D38" t="s">
        <v>589</v>
      </c>
    </row>
    <row r="39" spans="1:5" hidden="1" x14ac:dyDescent="0.25">
      <c r="A39">
        <v>38</v>
      </c>
      <c r="B39" t="s">
        <v>592</v>
      </c>
      <c r="C39" t="s">
        <v>593</v>
      </c>
      <c r="D39" t="s">
        <v>589</v>
      </c>
      <c r="E39" t="s">
        <v>595</v>
      </c>
    </row>
    <row r="40" spans="1:5" hidden="1" x14ac:dyDescent="0.25">
      <c r="A40">
        <v>39</v>
      </c>
      <c r="B40" t="s">
        <v>592</v>
      </c>
      <c r="C40" t="s">
        <v>594</v>
      </c>
      <c r="D40" t="s">
        <v>589</v>
      </c>
      <c r="E40" t="s">
        <v>595</v>
      </c>
    </row>
    <row r="41" spans="1:5" hidden="1" x14ac:dyDescent="0.25">
      <c r="A41">
        <v>40</v>
      </c>
      <c r="B41" t="s">
        <v>596</v>
      </c>
      <c r="C41" t="s">
        <v>597</v>
      </c>
      <c r="D41" t="s">
        <v>589</v>
      </c>
    </row>
    <row r="42" spans="1:5" hidden="1" x14ac:dyDescent="0.25">
      <c r="A42">
        <v>41</v>
      </c>
      <c r="B42" t="s">
        <v>627</v>
      </c>
      <c r="C42" t="s">
        <v>628</v>
      </c>
      <c r="D42" t="s">
        <v>589</v>
      </c>
    </row>
    <row r="43" spans="1:5" x14ac:dyDescent="0.25">
      <c r="A43">
        <v>42</v>
      </c>
      <c r="B43" t="s">
        <v>596</v>
      </c>
      <c r="C43" t="s">
        <v>630</v>
      </c>
      <c r="E43" t="s">
        <v>677</v>
      </c>
    </row>
    <row r="44" spans="1:5" hidden="1" x14ac:dyDescent="0.25">
      <c r="A44">
        <v>43</v>
      </c>
      <c r="B44" t="s">
        <v>567</v>
      </c>
      <c r="C44" t="s">
        <v>636</v>
      </c>
      <c r="D44" t="s">
        <v>589</v>
      </c>
    </row>
    <row r="45" spans="1:5" hidden="1" x14ac:dyDescent="0.25">
      <c r="A45">
        <v>44</v>
      </c>
      <c r="B45" t="s">
        <v>631</v>
      </c>
      <c r="C45" t="s">
        <v>632</v>
      </c>
      <c r="D45" t="s">
        <v>654</v>
      </c>
      <c r="E45" t="s">
        <v>633</v>
      </c>
    </row>
    <row r="46" spans="1:5" hidden="1" x14ac:dyDescent="0.25">
      <c r="A46">
        <v>45</v>
      </c>
      <c r="B46" t="s">
        <v>634</v>
      </c>
      <c r="C46" t="s">
        <v>635</v>
      </c>
      <c r="D46" t="s">
        <v>589</v>
      </c>
    </row>
    <row r="47" spans="1:5" hidden="1" x14ac:dyDescent="0.25">
      <c r="A47">
        <v>46</v>
      </c>
      <c r="B47" t="s">
        <v>643</v>
      </c>
      <c r="C47" t="s">
        <v>644</v>
      </c>
      <c r="D47" t="s">
        <v>654</v>
      </c>
    </row>
    <row r="48" spans="1:5" hidden="1" x14ac:dyDescent="0.25">
      <c r="A48">
        <v>47</v>
      </c>
      <c r="B48" t="s">
        <v>567</v>
      </c>
      <c r="C48" t="s">
        <v>645</v>
      </c>
      <c r="D48" t="s">
        <v>589</v>
      </c>
    </row>
    <row r="49" spans="1:5" hidden="1" x14ac:dyDescent="0.25">
      <c r="A49">
        <v>48</v>
      </c>
      <c r="B49" t="s">
        <v>646</v>
      </c>
      <c r="C49" t="s">
        <v>647</v>
      </c>
      <c r="D49" t="s">
        <v>589</v>
      </c>
    </row>
    <row r="50" spans="1:5" hidden="1" x14ac:dyDescent="0.25">
      <c r="A50">
        <v>49</v>
      </c>
      <c r="B50" t="s">
        <v>567</v>
      </c>
      <c r="C50" t="s">
        <v>656</v>
      </c>
      <c r="D50" t="s">
        <v>654</v>
      </c>
      <c r="E50" t="s">
        <v>681</v>
      </c>
    </row>
    <row r="51" spans="1:5" hidden="1" x14ac:dyDescent="0.25">
      <c r="A51">
        <v>50</v>
      </c>
      <c r="B51" t="s">
        <v>650</v>
      </c>
      <c r="C51" t="s">
        <v>649</v>
      </c>
      <c r="D51" t="s">
        <v>589</v>
      </c>
    </row>
    <row r="52" spans="1:5" hidden="1" x14ac:dyDescent="0.25">
      <c r="A52">
        <v>51</v>
      </c>
      <c r="B52" s="33" t="s">
        <v>650</v>
      </c>
      <c r="C52" s="33" t="s">
        <v>648</v>
      </c>
      <c r="D52" s="33" t="s">
        <v>589</v>
      </c>
      <c r="E52" s="33" t="s">
        <v>662</v>
      </c>
    </row>
    <row r="53" spans="1:5" hidden="1" x14ac:dyDescent="0.25">
      <c r="A53">
        <v>52</v>
      </c>
      <c r="B53" t="s">
        <v>650</v>
      </c>
      <c r="C53" t="s">
        <v>657</v>
      </c>
      <c r="D53" t="s">
        <v>654</v>
      </c>
    </row>
    <row r="54" spans="1:5" hidden="1" x14ac:dyDescent="0.25">
      <c r="A54">
        <v>53</v>
      </c>
      <c r="B54" t="s">
        <v>650</v>
      </c>
      <c r="C54" t="s">
        <v>651</v>
      </c>
      <c r="D54" t="s">
        <v>654</v>
      </c>
    </row>
    <row r="55" spans="1:5" hidden="1" x14ac:dyDescent="0.25">
      <c r="A55">
        <v>54</v>
      </c>
      <c r="B55" t="s">
        <v>642</v>
      </c>
      <c r="C55" t="s">
        <v>652</v>
      </c>
      <c r="D55" t="s">
        <v>589</v>
      </c>
    </row>
    <row r="56" spans="1:5" hidden="1" x14ac:dyDescent="0.25">
      <c r="A56">
        <v>55</v>
      </c>
      <c r="B56" t="s">
        <v>642</v>
      </c>
      <c r="C56" t="s">
        <v>653</v>
      </c>
      <c r="D56" t="s">
        <v>654</v>
      </c>
    </row>
    <row r="57" spans="1:5" x14ac:dyDescent="0.25">
      <c r="A57">
        <v>56</v>
      </c>
      <c r="B57" t="s">
        <v>661</v>
      </c>
      <c r="C57" t="s">
        <v>658</v>
      </c>
    </row>
    <row r="58" spans="1:5" hidden="1" x14ac:dyDescent="0.25">
      <c r="A58">
        <v>57</v>
      </c>
      <c r="B58" t="s">
        <v>660</v>
      </c>
      <c r="C58" t="s">
        <v>659</v>
      </c>
      <c r="D58" t="s">
        <v>589</v>
      </c>
    </row>
    <row r="59" spans="1:5" hidden="1" x14ac:dyDescent="0.25">
      <c r="A59">
        <v>58</v>
      </c>
      <c r="B59" t="s">
        <v>665</v>
      </c>
      <c r="C59" t="s">
        <v>663</v>
      </c>
      <c r="D59" t="s">
        <v>589</v>
      </c>
      <c r="E59" t="s">
        <v>664</v>
      </c>
    </row>
    <row r="60" spans="1:5" hidden="1" x14ac:dyDescent="0.25">
      <c r="A60">
        <v>59</v>
      </c>
      <c r="B60" t="s">
        <v>665</v>
      </c>
      <c r="C60" t="s">
        <v>817</v>
      </c>
      <c r="D60" t="s">
        <v>589</v>
      </c>
    </row>
    <row r="61" spans="1:5" hidden="1" x14ac:dyDescent="0.25">
      <c r="A61">
        <v>60</v>
      </c>
      <c r="B61" t="s">
        <v>596</v>
      </c>
      <c r="C61" t="s">
        <v>666</v>
      </c>
      <c r="D61" t="s">
        <v>589</v>
      </c>
    </row>
    <row r="62" spans="1:5" hidden="1" x14ac:dyDescent="0.25">
      <c r="A62">
        <v>61</v>
      </c>
      <c r="B62" t="s">
        <v>671</v>
      </c>
      <c r="C62" t="s">
        <v>667</v>
      </c>
      <c r="D62" t="s">
        <v>589</v>
      </c>
    </row>
    <row r="63" spans="1:5" hidden="1" x14ac:dyDescent="0.25">
      <c r="A63">
        <v>62</v>
      </c>
      <c r="B63" t="s">
        <v>567</v>
      </c>
      <c r="C63" t="s">
        <v>668</v>
      </c>
      <c r="D63" t="s">
        <v>654</v>
      </c>
    </row>
    <row r="64" spans="1:5" x14ac:dyDescent="0.25">
      <c r="A64">
        <v>63</v>
      </c>
      <c r="B64" t="s">
        <v>870</v>
      </c>
      <c r="C64" t="s">
        <v>672</v>
      </c>
      <c r="E64" s="33" t="s">
        <v>867</v>
      </c>
    </row>
    <row r="65" spans="1:5" hidden="1" x14ac:dyDescent="0.25">
      <c r="A65">
        <v>64</v>
      </c>
      <c r="B65" t="s">
        <v>669</v>
      </c>
      <c r="C65" t="s">
        <v>670</v>
      </c>
      <c r="D65" t="s">
        <v>590</v>
      </c>
      <c r="E65" t="s">
        <v>868</v>
      </c>
    </row>
    <row r="66" spans="1:5" x14ac:dyDescent="0.25">
      <c r="A66">
        <v>65</v>
      </c>
      <c r="B66" t="s">
        <v>669</v>
      </c>
      <c r="C66" t="s">
        <v>673</v>
      </c>
    </row>
    <row r="67" spans="1:5" hidden="1" x14ac:dyDescent="0.25">
      <c r="A67">
        <v>66</v>
      </c>
      <c r="B67" t="s">
        <v>567</v>
      </c>
      <c r="C67" t="s">
        <v>679</v>
      </c>
      <c r="D67" t="s">
        <v>654</v>
      </c>
      <c r="E67" t="s">
        <v>680</v>
      </c>
    </row>
    <row r="68" spans="1:5" hidden="1" x14ac:dyDescent="0.25">
      <c r="A68">
        <v>67</v>
      </c>
      <c r="B68" t="s">
        <v>567</v>
      </c>
      <c r="C68" t="s">
        <v>678</v>
      </c>
      <c r="D68" t="s">
        <v>654</v>
      </c>
    </row>
    <row r="69" spans="1:5" hidden="1" x14ac:dyDescent="0.25">
      <c r="A69">
        <v>69</v>
      </c>
      <c r="B69" t="s">
        <v>818</v>
      </c>
      <c r="C69" t="s">
        <v>819</v>
      </c>
      <c r="D69" t="s">
        <v>589</v>
      </c>
      <c r="E69" t="s">
        <v>820</v>
      </c>
    </row>
    <row r="70" spans="1:5" hidden="1" x14ac:dyDescent="0.25">
      <c r="A70">
        <v>70</v>
      </c>
      <c r="B70" t="s">
        <v>573</v>
      </c>
      <c r="C70" t="s">
        <v>821</v>
      </c>
      <c r="D70" t="s">
        <v>589</v>
      </c>
    </row>
    <row r="71" spans="1:5" hidden="1" x14ac:dyDescent="0.25">
      <c r="A71">
        <v>71</v>
      </c>
      <c r="B71" t="s">
        <v>830</v>
      </c>
      <c r="C71" t="s">
        <v>827</v>
      </c>
      <c r="D71" t="s">
        <v>589</v>
      </c>
    </row>
    <row r="72" spans="1:5" x14ac:dyDescent="0.25">
      <c r="B72" t="s">
        <v>573</v>
      </c>
      <c r="C72" t="s">
        <v>847</v>
      </c>
      <c r="E72" t="s">
        <v>850</v>
      </c>
    </row>
    <row r="73" spans="1:5" x14ac:dyDescent="0.25">
      <c r="B73" t="s">
        <v>573</v>
      </c>
      <c r="C73" t="s">
        <v>869</v>
      </c>
    </row>
    <row r="74" spans="1:5" x14ac:dyDescent="0.25">
      <c r="B74" t="s">
        <v>573</v>
      </c>
      <c r="C74" t="s">
        <v>851</v>
      </c>
      <c r="E74" t="s">
        <v>852</v>
      </c>
    </row>
    <row r="76" spans="1:5" hidden="1" x14ac:dyDescent="0.25">
      <c r="B76" t="s">
        <v>849</v>
      </c>
      <c r="C76" t="s">
        <v>845</v>
      </c>
      <c r="D76" t="s">
        <v>589</v>
      </c>
    </row>
    <row r="77" spans="1:5" x14ac:dyDescent="0.25">
      <c r="B77" t="s">
        <v>849</v>
      </c>
      <c r="C77" t="s">
        <v>846</v>
      </c>
    </row>
    <row r="80" spans="1:5" x14ac:dyDescent="0.25">
      <c r="B80" t="s">
        <v>831</v>
      </c>
      <c r="C80" t="s">
        <v>832</v>
      </c>
      <c r="E80" t="s">
        <v>848</v>
      </c>
    </row>
    <row r="81" spans="2:5" x14ac:dyDescent="0.25">
      <c r="B81" t="s">
        <v>831</v>
      </c>
      <c r="C81" t="s">
        <v>833</v>
      </c>
    </row>
    <row r="83" spans="2:5" hidden="1" x14ac:dyDescent="0.25">
      <c r="B83" t="s">
        <v>834</v>
      </c>
      <c r="C83" t="s">
        <v>835</v>
      </c>
      <c r="D83" t="s">
        <v>589</v>
      </c>
    </row>
    <row r="84" spans="2:5" hidden="1" x14ac:dyDescent="0.25">
      <c r="C84" t="s">
        <v>858</v>
      </c>
      <c r="D84" t="s">
        <v>589</v>
      </c>
      <c r="E84" t="s">
        <v>859</v>
      </c>
    </row>
    <row r="87" spans="2:5" x14ac:dyDescent="0.25">
      <c r="B87" t="s">
        <v>567</v>
      </c>
      <c r="C87" t="s">
        <v>860</v>
      </c>
    </row>
    <row r="89" spans="2:5" x14ac:dyDescent="0.25">
      <c r="B89" t="s">
        <v>849</v>
      </c>
      <c r="C89" t="s">
        <v>861</v>
      </c>
    </row>
    <row r="90" spans="2:5" x14ac:dyDescent="0.25">
      <c r="B90" t="s">
        <v>567</v>
      </c>
      <c r="C90" t="s">
        <v>865</v>
      </c>
      <c r="D90" t="s">
        <v>589</v>
      </c>
    </row>
    <row r="91" spans="2:5" x14ac:dyDescent="0.25">
      <c r="B91" t="s">
        <v>567</v>
      </c>
      <c r="C91" t="s">
        <v>862</v>
      </c>
    </row>
    <row r="92" spans="2:5" x14ac:dyDescent="0.25">
      <c r="B92" t="s">
        <v>870</v>
      </c>
      <c r="C92" t="s">
        <v>863</v>
      </c>
    </row>
    <row r="93" spans="2:5" x14ac:dyDescent="0.25">
      <c r="B93" t="s">
        <v>870</v>
      </c>
      <c r="C93" t="s">
        <v>864</v>
      </c>
    </row>
    <row r="95" spans="2:5" x14ac:dyDescent="0.25">
      <c r="B95" t="s">
        <v>669</v>
      </c>
      <c r="C95" t="s">
        <v>1186</v>
      </c>
      <c r="D95" t="s">
        <v>589</v>
      </c>
    </row>
    <row r="96" spans="2:5" s="33" customFormat="1" x14ac:dyDescent="0.25">
      <c r="B96" s="33" t="s">
        <v>573</v>
      </c>
      <c r="C96" s="33" t="s">
        <v>1187</v>
      </c>
    </row>
    <row r="108" spans="2:5" x14ac:dyDescent="0.25">
      <c r="B108" t="s">
        <v>834</v>
      </c>
      <c r="C108" t="s">
        <v>836</v>
      </c>
    </row>
    <row r="110" spans="2:5" x14ac:dyDescent="0.25">
      <c r="C110" t="s">
        <v>837</v>
      </c>
      <c r="D110" t="s">
        <v>841</v>
      </c>
    </row>
    <row r="111" spans="2:5" x14ac:dyDescent="0.25">
      <c r="C111" t="s">
        <v>838</v>
      </c>
      <c r="E111" t="s">
        <v>844</v>
      </c>
    </row>
    <row r="112" spans="2:5" x14ac:dyDescent="0.25">
      <c r="C112" t="s">
        <v>843</v>
      </c>
    </row>
    <row r="113" spans="2:5" x14ac:dyDescent="0.25">
      <c r="C113" t="s">
        <v>839</v>
      </c>
      <c r="D113" t="s">
        <v>841</v>
      </c>
    </row>
    <row r="114" spans="2:5" x14ac:dyDescent="0.25">
      <c r="C114" t="s">
        <v>842</v>
      </c>
      <c r="D114" t="s">
        <v>841</v>
      </c>
    </row>
    <row r="115" spans="2:5" x14ac:dyDescent="0.25">
      <c r="C115" t="s">
        <v>840</v>
      </c>
      <c r="D115" t="s">
        <v>841</v>
      </c>
    </row>
    <row r="118" spans="2:5" x14ac:dyDescent="0.25">
      <c r="C118" t="s">
        <v>837</v>
      </c>
      <c r="D118" t="s">
        <v>841</v>
      </c>
    </row>
    <row r="119" spans="2:5" x14ac:dyDescent="0.25">
      <c r="C119" t="s">
        <v>838</v>
      </c>
      <c r="E119" t="s">
        <v>844</v>
      </c>
    </row>
    <row r="120" spans="2:5" x14ac:dyDescent="0.25">
      <c r="C120" t="s">
        <v>843</v>
      </c>
    </row>
    <row r="121" spans="2:5" x14ac:dyDescent="0.25">
      <c r="C121" t="s">
        <v>839</v>
      </c>
      <c r="D121" t="s">
        <v>841</v>
      </c>
    </row>
    <row r="122" spans="2:5" x14ac:dyDescent="0.25">
      <c r="C122" t="s">
        <v>842</v>
      </c>
      <c r="D122" t="s">
        <v>841</v>
      </c>
    </row>
    <row r="123" spans="2:5" x14ac:dyDescent="0.25">
      <c r="C123" t="s">
        <v>840</v>
      </c>
      <c r="D123" t="s">
        <v>841</v>
      </c>
    </row>
    <row r="127" spans="2:5" x14ac:dyDescent="0.25">
      <c r="B127">
        <v>1</v>
      </c>
      <c r="C127" t="s">
        <v>856</v>
      </c>
      <c r="D127" t="s">
        <v>841</v>
      </c>
    </row>
    <row r="128" spans="2:5" x14ac:dyDescent="0.25">
      <c r="B128">
        <v>2</v>
      </c>
      <c r="C128" t="s">
        <v>855</v>
      </c>
      <c r="E128" t="s">
        <v>844</v>
      </c>
    </row>
    <row r="129" spans="2:4" x14ac:dyDescent="0.25">
      <c r="B129">
        <v>3</v>
      </c>
      <c r="C129" t="s">
        <v>854</v>
      </c>
      <c r="D129" t="s">
        <v>841</v>
      </c>
    </row>
    <row r="130" spans="2:4" x14ac:dyDescent="0.25">
      <c r="B130">
        <v>4</v>
      </c>
      <c r="C130" t="s">
        <v>853</v>
      </c>
      <c r="D130" t="s">
        <v>841</v>
      </c>
    </row>
    <row r="131" spans="2:4" x14ac:dyDescent="0.25">
      <c r="B131">
        <v>5</v>
      </c>
      <c r="C131" t="s">
        <v>857</v>
      </c>
      <c r="D131" t="s">
        <v>841</v>
      </c>
    </row>
  </sheetData>
  <autoFilter ref="A1:E93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E4:E19"/>
  <sheetViews>
    <sheetView topLeftCell="A17" workbookViewId="0">
      <selection activeCell="K30" sqref="K30"/>
    </sheetView>
  </sheetViews>
  <sheetFormatPr defaultRowHeight="15" x14ac:dyDescent="0.25"/>
  <cols>
    <col min="5" max="5" width="38.5703125" customWidth="1"/>
  </cols>
  <sheetData>
    <row r="4" spans="5:5" x14ac:dyDescent="0.25">
      <c r="E4" t="s">
        <v>1182</v>
      </c>
    </row>
    <row r="8" spans="5:5" ht="255" customHeight="1" x14ac:dyDescent="0.25"/>
    <row r="9" spans="5:5" x14ac:dyDescent="0.25">
      <c r="E9" t="s">
        <v>1183</v>
      </c>
    </row>
    <row r="12" spans="5:5" ht="409.5" customHeight="1" x14ac:dyDescent="0.25"/>
    <row r="14" spans="5:5" x14ac:dyDescent="0.25">
      <c r="E14" t="s">
        <v>1184</v>
      </c>
    </row>
    <row r="17" spans="5:5" ht="205.5" customHeight="1" x14ac:dyDescent="0.25"/>
    <row r="19" spans="5:5" x14ac:dyDescent="0.25">
      <c r="E19" t="s">
        <v>1185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workbookViewId="0">
      <selection activeCell="A28" sqref="A28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944</v>
      </c>
      <c r="B1" s="39" t="s">
        <v>943</v>
      </c>
      <c r="C1" s="39" t="s">
        <v>881</v>
      </c>
      <c r="D1" s="40" t="s">
        <v>882</v>
      </c>
      <c r="E1" s="40"/>
    </row>
    <row r="2" spans="1:7" x14ac:dyDescent="0.25">
      <c r="A2" t="s">
        <v>896</v>
      </c>
      <c r="B2" s="35" t="s">
        <v>895</v>
      </c>
      <c r="C2" s="35" t="s">
        <v>874</v>
      </c>
      <c r="D2" s="26">
        <f>HEX2DEC(C2)</f>
        <v>61444</v>
      </c>
      <c r="F2" t="s">
        <v>894</v>
      </c>
    </row>
    <row r="3" spans="1:7" x14ac:dyDescent="0.25">
      <c r="A3" t="s">
        <v>957</v>
      </c>
      <c r="B3" s="35" t="s">
        <v>958</v>
      </c>
      <c r="C3" s="35" t="s">
        <v>959</v>
      </c>
      <c r="D3" s="26">
        <f>HEX2DEC(C3)</f>
        <v>61443</v>
      </c>
      <c r="F3" t="s">
        <v>894</v>
      </c>
    </row>
    <row r="4" spans="1:7" x14ac:dyDescent="0.25">
      <c r="A4" t="s">
        <v>897</v>
      </c>
      <c r="B4" s="35" t="s">
        <v>898</v>
      </c>
      <c r="C4" s="35" t="s">
        <v>899</v>
      </c>
      <c r="D4" s="26">
        <f>HEX2DEC(C4)</f>
        <v>65247</v>
      </c>
      <c r="F4" t="s">
        <v>894</v>
      </c>
    </row>
    <row r="5" spans="1:7" x14ac:dyDescent="0.25">
      <c r="A5" t="s">
        <v>945</v>
      </c>
      <c r="B5" s="35" t="s">
        <v>946</v>
      </c>
      <c r="C5" s="35" t="s">
        <v>947</v>
      </c>
      <c r="D5" s="26">
        <f>HEX2DEC(C5)</f>
        <v>64981</v>
      </c>
      <c r="F5" t="s">
        <v>894</v>
      </c>
    </row>
    <row r="6" spans="1:7" x14ac:dyDescent="0.25">
      <c r="A6" t="s">
        <v>880</v>
      </c>
      <c r="B6" s="35" t="s">
        <v>900</v>
      </c>
      <c r="C6" s="35" t="s">
        <v>875</v>
      </c>
      <c r="D6" s="26">
        <f t="shared" ref="D6:D7" si="0">HEX2DEC(C6)</f>
        <v>65262</v>
      </c>
      <c r="F6" t="s">
        <v>894</v>
      </c>
    </row>
    <row r="7" spans="1:7" x14ac:dyDescent="0.25">
      <c r="A7" t="s">
        <v>883</v>
      </c>
      <c r="B7" s="35" t="s">
        <v>901</v>
      </c>
      <c r="C7" s="35" t="s">
        <v>876</v>
      </c>
      <c r="D7" s="26">
        <f t="shared" si="0"/>
        <v>65263</v>
      </c>
      <c r="F7" t="s">
        <v>894</v>
      </c>
    </row>
    <row r="8" spans="1:7" x14ac:dyDescent="0.25">
      <c r="A8" s="36" t="s">
        <v>885</v>
      </c>
      <c r="B8" s="36" t="s">
        <v>902</v>
      </c>
      <c r="C8" s="35" t="s">
        <v>878</v>
      </c>
      <c r="D8" s="26">
        <f t="shared" ref="D8:D17" si="1">HEX2DEC(C8)</f>
        <v>65253</v>
      </c>
      <c r="F8" t="s">
        <v>894</v>
      </c>
      <c r="G8" t="s">
        <v>909</v>
      </c>
    </row>
    <row r="9" spans="1:7" x14ac:dyDescent="0.25">
      <c r="A9" s="35" t="s">
        <v>884</v>
      </c>
      <c r="B9" s="35" t="s">
        <v>564</v>
      </c>
      <c r="C9" s="35" t="s">
        <v>877</v>
      </c>
      <c r="D9" s="26">
        <f t="shared" si="1"/>
        <v>65226</v>
      </c>
      <c r="F9" t="s">
        <v>894</v>
      </c>
    </row>
    <row r="10" spans="1:7" x14ac:dyDescent="0.25">
      <c r="A10" s="35" t="s">
        <v>884</v>
      </c>
      <c r="B10" s="35" t="s">
        <v>886</v>
      </c>
      <c r="C10" s="35" t="s">
        <v>887</v>
      </c>
      <c r="D10" s="26">
        <f t="shared" si="1"/>
        <v>65227</v>
      </c>
      <c r="F10" t="s">
        <v>894</v>
      </c>
    </row>
    <row r="11" spans="1:7" x14ac:dyDescent="0.25">
      <c r="A11" t="s">
        <v>916</v>
      </c>
      <c r="B11" s="35" t="s">
        <v>972</v>
      </c>
      <c r="C11" s="35" t="s">
        <v>917</v>
      </c>
      <c r="D11" s="26">
        <f t="shared" si="1"/>
        <v>65243</v>
      </c>
      <c r="F11" t="s">
        <v>894</v>
      </c>
    </row>
    <row r="12" spans="1:7" x14ac:dyDescent="0.25">
      <c r="A12" t="s">
        <v>905</v>
      </c>
      <c r="B12" s="35" t="s">
        <v>907</v>
      </c>
      <c r="C12" s="35" t="s">
        <v>908</v>
      </c>
      <c r="D12" s="26">
        <f t="shared" si="1"/>
        <v>65266</v>
      </c>
      <c r="F12" t="s">
        <v>894</v>
      </c>
    </row>
    <row r="13" spans="1:7" x14ac:dyDescent="0.25">
      <c r="A13" t="s">
        <v>906</v>
      </c>
      <c r="B13" s="35" t="s">
        <v>903</v>
      </c>
      <c r="C13" s="35" t="s">
        <v>904</v>
      </c>
      <c r="D13" s="26">
        <f t="shared" si="1"/>
        <v>65257</v>
      </c>
      <c r="F13" t="s">
        <v>894</v>
      </c>
      <c r="G13" t="s">
        <v>909</v>
      </c>
    </row>
    <row r="14" spans="1:7" x14ac:dyDescent="0.25">
      <c r="A14" t="s">
        <v>910</v>
      </c>
      <c r="B14" s="35" t="s">
        <v>930</v>
      </c>
      <c r="C14" s="35" t="s">
        <v>911</v>
      </c>
      <c r="D14" s="26">
        <f t="shared" si="1"/>
        <v>65269</v>
      </c>
      <c r="F14" t="s">
        <v>894</v>
      </c>
    </row>
    <row r="15" spans="1:7" x14ac:dyDescent="0.25">
      <c r="A15" t="s">
        <v>912</v>
      </c>
      <c r="B15" s="35" t="s">
        <v>929</v>
      </c>
      <c r="C15" s="35" t="s">
        <v>913</v>
      </c>
      <c r="D15" s="26">
        <f t="shared" si="1"/>
        <v>65270</v>
      </c>
      <c r="F15" t="s">
        <v>894</v>
      </c>
    </row>
    <row r="16" spans="1:7" x14ac:dyDescent="0.25">
      <c r="A16" t="s">
        <v>926</v>
      </c>
      <c r="B16" s="35" t="s">
        <v>928</v>
      </c>
      <c r="C16" s="35" t="s">
        <v>927</v>
      </c>
      <c r="D16" s="26">
        <f t="shared" si="1"/>
        <v>65271</v>
      </c>
      <c r="F16" t="s">
        <v>894</v>
      </c>
    </row>
    <row r="17" spans="1:6" x14ac:dyDescent="0.25">
      <c r="A17" t="s">
        <v>939</v>
      </c>
      <c r="B17" s="35" t="s">
        <v>938</v>
      </c>
      <c r="C17" s="35" t="s">
        <v>923</v>
      </c>
      <c r="D17" s="26">
        <f t="shared" si="1"/>
        <v>65130</v>
      </c>
      <c r="F17" t="s">
        <v>894</v>
      </c>
    </row>
    <row r="19" spans="1:6" x14ac:dyDescent="0.25">
      <c r="A19" s="43" t="s">
        <v>933</v>
      </c>
      <c r="B19" s="44" t="s">
        <v>871</v>
      </c>
      <c r="C19" s="44">
        <v>0</v>
      </c>
      <c r="D19" s="45">
        <f>HEX2DEC(C19)</f>
        <v>0</v>
      </c>
      <c r="E19" s="45"/>
      <c r="F19" s="43" t="s">
        <v>893</v>
      </c>
    </row>
    <row r="20" spans="1:6" x14ac:dyDescent="0.25">
      <c r="A20" s="43" t="s">
        <v>932</v>
      </c>
      <c r="B20" s="44" t="s">
        <v>873</v>
      </c>
      <c r="C20" s="44" t="s">
        <v>931</v>
      </c>
      <c r="D20" s="45">
        <f>HEX2DEC(C20)</f>
        <v>57344</v>
      </c>
      <c r="E20" s="45"/>
      <c r="F20" s="43" t="s">
        <v>893</v>
      </c>
    </row>
    <row r="21" spans="1:6" x14ac:dyDescent="0.25">
      <c r="A21" s="43" t="s">
        <v>934</v>
      </c>
      <c r="B21" s="44" t="s">
        <v>872</v>
      </c>
      <c r="C21" s="44">
        <v>8500</v>
      </c>
      <c r="D21" s="45">
        <f>HEX2DEC(C21)</f>
        <v>34048</v>
      </c>
      <c r="E21" s="45"/>
      <c r="F21" s="43" t="s">
        <v>893</v>
      </c>
    </row>
    <row r="22" spans="1:6" x14ac:dyDescent="0.25">
      <c r="A22" s="43" t="s">
        <v>891</v>
      </c>
      <c r="B22" s="44" t="s">
        <v>890</v>
      </c>
      <c r="C22" s="44" t="s">
        <v>892</v>
      </c>
      <c r="D22" s="45">
        <f>HEX2DEC(C22)</f>
        <v>56832</v>
      </c>
      <c r="E22" s="45"/>
      <c r="F22" s="43" t="s">
        <v>893</v>
      </c>
    </row>
    <row r="24" spans="1:6" x14ac:dyDescent="0.25">
      <c r="A24" t="s">
        <v>889</v>
      </c>
      <c r="B24" s="35" t="s">
        <v>888</v>
      </c>
      <c r="C24" s="35" t="s">
        <v>879</v>
      </c>
      <c r="D24" s="26">
        <f>HEX2DEC(C24)</f>
        <v>64892</v>
      </c>
      <c r="F24" t="s">
        <v>894</v>
      </c>
    </row>
    <row r="25" spans="1:6" x14ac:dyDescent="0.25">
      <c r="A25" t="s">
        <v>914</v>
      </c>
      <c r="B25" s="35" t="s">
        <v>935</v>
      </c>
      <c r="C25" s="35" t="s">
        <v>915</v>
      </c>
      <c r="D25" s="26">
        <f>HEX2DEC(C25)</f>
        <v>64948</v>
      </c>
      <c r="F25" t="s">
        <v>894</v>
      </c>
    </row>
    <row r="26" spans="1:6" x14ac:dyDescent="0.25">
      <c r="A26" t="s">
        <v>918</v>
      </c>
      <c r="B26" s="35" t="s">
        <v>937</v>
      </c>
      <c r="C26" s="35" t="s">
        <v>919</v>
      </c>
      <c r="D26" s="26">
        <f>HEX2DEC(C26)</f>
        <v>65110</v>
      </c>
      <c r="F26" t="s">
        <v>894</v>
      </c>
    </row>
    <row r="27" spans="1:6" x14ac:dyDescent="0.25">
      <c r="A27" t="s">
        <v>921</v>
      </c>
      <c r="B27" s="35" t="s">
        <v>940</v>
      </c>
      <c r="C27" s="35" t="s">
        <v>922</v>
      </c>
      <c r="D27" s="26">
        <f t="shared" ref="D27:D38" si="2">HEX2DEC(C27)</f>
        <v>61475</v>
      </c>
      <c r="F27" t="s">
        <v>894</v>
      </c>
    </row>
    <row r="28" spans="1:6" x14ac:dyDescent="0.25">
      <c r="A28" t="s">
        <v>920</v>
      </c>
      <c r="B28" s="35" t="s">
        <v>941</v>
      </c>
      <c r="C28" s="35" t="s">
        <v>919</v>
      </c>
      <c r="D28" s="26">
        <f t="shared" si="2"/>
        <v>65110</v>
      </c>
      <c r="F28" t="s">
        <v>894</v>
      </c>
    </row>
    <row r="29" spans="1:6" x14ac:dyDescent="0.25">
      <c r="A29" t="s">
        <v>924</v>
      </c>
      <c r="B29" s="35" t="s">
        <v>942</v>
      </c>
      <c r="C29" s="35" t="s">
        <v>925</v>
      </c>
      <c r="D29" s="26">
        <f t="shared" si="2"/>
        <v>64830</v>
      </c>
      <c r="F29" t="s">
        <v>894</v>
      </c>
    </row>
    <row r="30" spans="1:6" x14ac:dyDescent="0.25">
      <c r="A30" t="s">
        <v>949</v>
      </c>
      <c r="B30" s="35" t="s">
        <v>950</v>
      </c>
      <c r="C30" s="35" t="s">
        <v>948</v>
      </c>
      <c r="D30" s="26">
        <f t="shared" si="2"/>
        <v>64800</v>
      </c>
      <c r="F30" t="s">
        <v>894</v>
      </c>
    </row>
    <row r="31" spans="1:6" x14ac:dyDescent="0.25">
      <c r="A31" s="33" t="s">
        <v>951</v>
      </c>
      <c r="B31" s="41" t="s">
        <v>952</v>
      </c>
      <c r="C31" s="41" t="s">
        <v>953</v>
      </c>
      <c r="D31" s="42">
        <f t="shared" si="2"/>
        <v>64561</v>
      </c>
      <c r="E31" s="42"/>
      <c r="F31" s="33" t="s">
        <v>894</v>
      </c>
    </row>
    <row r="33" spans="1:7" x14ac:dyDescent="0.25">
      <c r="A33" t="s">
        <v>954</v>
      </c>
      <c r="B33" s="35" t="s">
        <v>956</v>
      </c>
      <c r="C33" s="35" t="s">
        <v>955</v>
      </c>
      <c r="D33" s="26">
        <f t="shared" si="2"/>
        <v>65279</v>
      </c>
      <c r="F33" t="s">
        <v>894</v>
      </c>
    </row>
    <row r="34" spans="1:7" x14ac:dyDescent="0.25">
      <c r="A34" t="s">
        <v>960</v>
      </c>
      <c r="B34" s="35" t="s">
        <v>961</v>
      </c>
      <c r="C34" s="35" t="s">
        <v>962</v>
      </c>
      <c r="D34" s="26">
        <f t="shared" si="2"/>
        <v>64775</v>
      </c>
      <c r="F34" t="s">
        <v>894</v>
      </c>
    </row>
    <row r="35" spans="1:7" x14ac:dyDescent="0.25">
      <c r="A35" t="s">
        <v>963</v>
      </c>
      <c r="B35" s="35" t="s">
        <v>964</v>
      </c>
      <c r="C35" s="35" t="s">
        <v>965</v>
      </c>
      <c r="D35" s="26">
        <f t="shared" si="2"/>
        <v>64773</v>
      </c>
      <c r="F35" t="s">
        <v>894</v>
      </c>
    </row>
    <row r="37" spans="1:7" x14ac:dyDescent="0.25">
      <c r="A37" t="s">
        <v>966</v>
      </c>
      <c r="B37" s="35" t="s">
        <v>968</v>
      </c>
      <c r="C37" s="35" t="s">
        <v>967</v>
      </c>
      <c r="D37" s="26">
        <f t="shared" si="2"/>
        <v>65242</v>
      </c>
      <c r="F37" t="s">
        <v>894</v>
      </c>
      <c r="G37" t="s">
        <v>909</v>
      </c>
    </row>
    <row r="38" spans="1:7" x14ac:dyDescent="0.25">
      <c r="A38" t="s">
        <v>969</v>
      </c>
      <c r="B38" s="35" t="s">
        <v>971</v>
      </c>
      <c r="C38" s="35" t="s">
        <v>970</v>
      </c>
      <c r="D38" s="26">
        <f t="shared" si="2"/>
        <v>65259</v>
      </c>
      <c r="F38" t="s">
        <v>894</v>
      </c>
      <c r="G38" t="s">
        <v>909</v>
      </c>
    </row>
    <row r="40" spans="1:7" x14ac:dyDescent="0.25">
      <c r="A40" s="37" t="s">
        <v>936</v>
      </c>
    </row>
    <row r="42" spans="1:7" x14ac:dyDescent="0.25">
      <c r="A42" t="s">
        <v>1167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W171"/>
  <sheetViews>
    <sheetView tabSelected="1" topLeftCell="A98" workbookViewId="0">
      <selection activeCell="M140" sqref="M140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5.85546875" style="35" bestFit="1" customWidth="1"/>
    <col min="5" max="5" width="10" bestFit="1" customWidth="1"/>
    <col min="6" max="6" width="2" style="26" bestFit="1" customWidth="1"/>
    <col min="7" max="7" width="5.140625" style="26" bestFit="1" customWidth="1"/>
    <col min="8" max="8" width="2" style="26" bestFit="1" customWidth="1"/>
    <col min="9" max="9" width="8.140625" style="26" customWidth="1"/>
    <col min="12" max="12" width="43.28515625" hidden="1" customWidth="1"/>
    <col min="13" max="13" width="50.28515625" customWidth="1"/>
    <col min="14" max="14" width="44" bestFit="1" customWidth="1"/>
    <col min="15" max="15" width="49" bestFit="1" customWidth="1"/>
  </cols>
  <sheetData>
    <row r="1" spans="1:23" s="27" customFormat="1" ht="18.75" x14ac:dyDescent="0.3">
      <c r="A1" s="27" t="s">
        <v>2</v>
      </c>
      <c r="B1" s="27" t="s">
        <v>1178</v>
      </c>
      <c r="D1" s="46" t="s">
        <v>1177</v>
      </c>
      <c r="E1" s="27" t="s">
        <v>1181</v>
      </c>
      <c r="F1" s="28"/>
      <c r="G1" s="28"/>
      <c r="H1" s="28"/>
      <c r="I1" s="28"/>
      <c r="J1" s="27" t="s">
        <v>1179</v>
      </c>
      <c r="M1" s="27" t="s">
        <v>1180</v>
      </c>
    </row>
    <row r="2" spans="1:23" hidden="1" x14ac:dyDescent="0.25">
      <c r="A2">
        <v>1</v>
      </c>
      <c r="B2" t="s">
        <v>871</v>
      </c>
      <c r="C2" t="s">
        <v>974</v>
      </c>
      <c r="J2" t="s">
        <v>983</v>
      </c>
      <c r="L2" t="str">
        <f>IF(C2&lt;&gt;"",_xlfn.CONCAT(B2,"_",C2),"")</f>
        <v>TSC1_EngOverrideCtrlMode</v>
      </c>
      <c r="M2" t="str">
        <f>_xlfn.CONCAT($M$1,L2)</f>
        <v>GVL_J1939.TSC1_EngOverrideCtrlMode</v>
      </c>
      <c r="N2" t="str">
        <f>_xlfn.CONCAT(M2,";")</f>
        <v>GVL_J1939.TSC1_EngOverrideCtrlMode;</v>
      </c>
      <c r="O2" t="str">
        <f>_xlfn.CONCAT(L2,":",J2,"; // SPN:",D2)</f>
        <v>TSC1_EngOverrideCtrlMode:USINT; // SPN:</v>
      </c>
    </row>
    <row r="3" spans="1:23" hidden="1" x14ac:dyDescent="0.25">
      <c r="A3">
        <v>2</v>
      </c>
      <c r="B3" t="s">
        <v>871</v>
      </c>
      <c r="C3" t="s">
        <v>973</v>
      </c>
      <c r="J3" t="s">
        <v>983</v>
      </c>
      <c r="L3" t="str">
        <f t="shared" ref="L3:L66" si="0">IF(C3&lt;&gt;"",_xlfn.CONCAT(B3,"_",C3),"")</f>
        <v>TSC1_EngRqedSpeedCtrlConditions</v>
      </c>
      <c r="M3" t="str">
        <f t="shared" ref="M3:M66" si="1">_xlfn.CONCAT($M$1,L3)</f>
        <v>GVL_J1939.TSC1_EngRqedSpeedCtrlConditions</v>
      </c>
      <c r="N3" t="str">
        <f t="shared" ref="N3:N66" si="2">_xlfn.CONCAT(M3,";")</f>
        <v>GVL_J1939.TSC1_EngRqedSpeedCtrlConditions;</v>
      </c>
      <c r="O3" t="str">
        <f t="shared" ref="O3:O66" si="3">_xlfn.CONCAT(L3,":",J3,"; // SPN:",D3)</f>
        <v>TSC1_EngRqedSpeedCtrlConditions:USINT; // SPN:</v>
      </c>
    </row>
    <row r="4" spans="1:23" hidden="1" x14ac:dyDescent="0.25">
      <c r="A4">
        <v>3</v>
      </c>
      <c r="B4" t="s">
        <v>871</v>
      </c>
      <c r="C4" t="s">
        <v>975</v>
      </c>
      <c r="J4" t="s">
        <v>983</v>
      </c>
      <c r="L4" t="str">
        <f t="shared" si="0"/>
        <v>TSC1_OverrideCtrlModePriority</v>
      </c>
      <c r="M4" t="str">
        <f t="shared" si="1"/>
        <v>GVL_J1939.TSC1_OverrideCtrlModePriority</v>
      </c>
      <c r="N4" t="str">
        <f t="shared" si="2"/>
        <v>GVL_J1939.TSC1_OverrideCtrlModePriority;</v>
      </c>
      <c r="O4" t="str">
        <f t="shared" si="3"/>
        <v>TSC1_OverrideCtrlModePriority:USINT; // SPN:</v>
      </c>
    </row>
    <row r="5" spans="1:23" hidden="1" x14ac:dyDescent="0.25">
      <c r="A5">
        <v>4</v>
      </c>
      <c r="B5" t="s">
        <v>871</v>
      </c>
      <c r="C5" t="s">
        <v>976</v>
      </c>
      <c r="J5" t="s">
        <v>984</v>
      </c>
      <c r="L5" t="str">
        <f t="shared" si="0"/>
        <v>TSC1_EngRqedSpeed_SpeedLimit</v>
      </c>
      <c r="M5" t="str">
        <f t="shared" si="1"/>
        <v>GVL_J1939.TSC1_EngRqedSpeed_SpeedLimit</v>
      </c>
      <c r="N5" t="str">
        <f t="shared" si="2"/>
        <v>GVL_J1939.TSC1_EngRqedSpeed_SpeedLimit;</v>
      </c>
      <c r="O5" t="str">
        <f t="shared" si="3"/>
        <v>TSC1_EngRqedSpeed_SpeedLimit:REAL; // SPN:</v>
      </c>
    </row>
    <row r="6" spans="1:23" hidden="1" x14ac:dyDescent="0.25">
      <c r="A6">
        <v>5</v>
      </c>
      <c r="B6" t="s">
        <v>871</v>
      </c>
      <c r="C6" t="s">
        <v>977</v>
      </c>
      <c r="J6" t="s">
        <v>985</v>
      </c>
      <c r="L6" t="str">
        <f t="shared" si="0"/>
        <v>TSC1_EngRqedTorque_TorqueLimit</v>
      </c>
      <c r="M6" t="str">
        <f t="shared" si="1"/>
        <v>GVL_J1939.TSC1_EngRqedTorque_TorqueLimit</v>
      </c>
      <c r="N6" t="str">
        <f t="shared" si="2"/>
        <v>GVL_J1939.TSC1_EngRqedTorque_TorqueLimit;</v>
      </c>
      <c r="O6" t="str">
        <f t="shared" si="3"/>
        <v>TSC1_EngRqedTorque_TorqueLimit:INT; // SPN:</v>
      </c>
    </row>
    <row r="7" spans="1:23" hidden="1" x14ac:dyDescent="0.25">
      <c r="A7">
        <v>6</v>
      </c>
      <c r="B7" t="s">
        <v>871</v>
      </c>
      <c r="C7" t="s">
        <v>978</v>
      </c>
      <c r="J7" t="s">
        <v>983</v>
      </c>
      <c r="L7" t="str">
        <f t="shared" si="0"/>
        <v>TSC1_TransmissionRate</v>
      </c>
      <c r="M7" t="str">
        <f t="shared" si="1"/>
        <v>GVL_J1939.TSC1_TransmissionRate</v>
      </c>
      <c r="N7" t="str">
        <f t="shared" si="2"/>
        <v>GVL_J1939.TSC1_TransmissionRate;</v>
      </c>
      <c r="O7" t="str">
        <f t="shared" si="3"/>
        <v>TSC1_TransmissionRate:USINT; // SPN:</v>
      </c>
    </row>
    <row r="8" spans="1:23" hidden="1" x14ac:dyDescent="0.25">
      <c r="A8">
        <v>7</v>
      </c>
      <c r="B8" t="s">
        <v>871</v>
      </c>
      <c r="C8" t="s">
        <v>979</v>
      </c>
      <c r="J8" t="s">
        <v>983</v>
      </c>
      <c r="L8" t="str">
        <f t="shared" si="0"/>
        <v>TSC1_ControlPurpose</v>
      </c>
      <c r="M8" t="str">
        <f t="shared" si="1"/>
        <v>GVL_J1939.TSC1_ControlPurpose</v>
      </c>
      <c r="N8" t="str">
        <f t="shared" si="2"/>
        <v>GVL_J1939.TSC1_ControlPurpose;</v>
      </c>
      <c r="O8" t="str">
        <f t="shared" si="3"/>
        <v>TSC1_ControlPurpose:USINT; // SPN:</v>
      </c>
      <c r="T8" t="s">
        <v>564</v>
      </c>
      <c r="U8" t="s">
        <v>994</v>
      </c>
      <c r="W8" t="s">
        <v>983</v>
      </c>
    </row>
    <row r="9" spans="1:23" hidden="1" x14ac:dyDescent="0.25">
      <c r="A9">
        <v>8</v>
      </c>
      <c r="B9" t="s">
        <v>871</v>
      </c>
      <c r="C9" t="s">
        <v>980</v>
      </c>
      <c r="J9" t="s">
        <v>984</v>
      </c>
      <c r="L9" t="str">
        <f t="shared" si="0"/>
        <v>TSC1_EngineRequestedTorqueHiRes</v>
      </c>
      <c r="M9" t="str">
        <f t="shared" si="1"/>
        <v>GVL_J1939.TSC1_EngineRequestedTorqueHiRes</v>
      </c>
      <c r="N9" t="str">
        <f t="shared" si="2"/>
        <v>GVL_J1939.TSC1_EngineRequestedTorqueHiRes;</v>
      </c>
      <c r="O9" t="str">
        <f t="shared" si="3"/>
        <v>TSC1_EngineRequestedTorqueHiRes:REAL; // SPN:</v>
      </c>
      <c r="T9" t="s">
        <v>564</v>
      </c>
      <c r="U9" t="s">
        <v>995</v>
      </c>
      <c r="W9" t="s">
        <v>983</v>
      </c>
    </row>
    <row r="10" spans="1:23" hidden="1" x14ac:dyDescent="0.25">
      <c r="A10">
        <v>9</v>
      </c>
      <c r="B10" t="s">
        <v>871</v>
      </c>
      <c r="C10" t="s">
        <v>981</v>
      </c>
      <c r="J10" t="s">
        <v>983</v>
      </c>
      <c r="L10" t="str">
        <f t="shared" si="0"/>
        <v>TSC1_MessageCounter</v>
      </c>
      <c r="M10" t="str">
        <f t="shared" si="1"/>
        <v>GVL_J1939.TSC1_MessageCounter</v>
      </c>
      <c r="N10" t="str">
        <f t="shared" si="2"/>
        <v>GVL_J1939.TSC1_MessageCounter;</v>
      </c>
      <c r="O10" t="str">
        <f t="shared" si="3"/>
        <v>TSC1_MessageCounter:USINT; // SPN:</v>
      </c>
      <c r="T10" t="s">
        <v>564</v>
      </c>
      <c r="U10" t="s">
        <v>996</v>
      </c>
      <c r="W10" t="s">
        <v>983</v>
      </c>
    </row>
    <row r="11" spans="1:23" hidden="1" x14ac:dyDescent="0.25">
      <c r="A11">
        <v>10</v>
      </c>
      <c r="B11" t="s">
        <v>871</v>
      </c>
      <c r="C11" t="s">
        <v>982</v>
      </c>
      <c r="J11" t="s">
        <v>983</v>
      </c>
      <c r="L11" t="str">
        <f t="shared" si="0"/>
        <v>TSC1_MessageChecksum</v>
      </c>
      <c r="M11" t="str">
        <f t="shared" si="1"/>
        <v>GVL_J1939.TSC1_MessageChecksum</v>
      </c>
      <c r="N11" t="str">
        <f t="shared" si="2"/>
        <v>GVL_J1939.TSC1_MessageChecksum;</v>
      </c>
      <c r="O11" t="str">
        <f t="shared" si="3"/>
        <v>TSC1_MessageChecksum:USINT; // SPN:</v>
      </c>
      <c r="T11" t="s">
        <v>564</v>
      </c>
      <c r="U11" t="s">
        <v>997</v>
      </c>
      <c r="W11" t="s">
        <v>983</v>
      </c>
    </row>
    <row r="12" spans="1:23" hidden="1" x14ac:dyDescent="0.25">
      <c r="A12">
        <v>11</v>
      </c>
      <c r="B12" t="s">
        <v>895</v>
      </c>
      <c r="C12" t="s">
        <v>986</v>
      </c>
      <c r="D12" s="35">
        <v>899</v>
      </c>
      <c r="J12" t="s">
        <v>983</v>
      </c>
      <c r="L12" t="str">
        <f t="shared" si="0"/>
        <v>EEC1_EngTorqueMode</v>
      </c>
      <c r="M12" t="str">
        <f t="shared" si="1"/>
        <v>GVL_J1939.EEC1_EngTorqueMode</v>
      </c>
      <c r="N12" t="str">
        <f t="shared" si="2"/>
        <v>GVL_J1939.EEC1_EngTorqueMode;</v>
      </c>
      <c r="O12" t="str">
        <f t="shared" si="3"/>
        <v>EEC1_EngTorqueMode:USINT; // SPN:899</v>
      </c>
      <c r="T12" t="s">
        <v>564</v>
      </c>
      <c r="U12" t="s">
        <v>998</v>
      </c>
      <c r="W12" t="s">
        <v>983</v>
      </c>
    </row>
    <row r="13" spans="1:23" hidden="1" x14ac:dyDescent="0.25">
      <c r="A13">
        <v>12</v>
      </c>
      <c r="B13" t="s">
        <v>895</v>
      </c>
      <c r="C13" t="s">
        <v>987</v>
      </c>
      <c r="D13" s="35">
        <v>4154</v>
      </c>
      <c r="J13" t="s">
        <v>984</v>
      </c>
      <c r="L13" t="str">
        <f t="shared" si="0"/>
        <v>EEC1_ActlEngPrcntTrqueHighResolution</v>
      </c>
      <c r="M13" t="str">
        <f t="shared" si="1"/>
        <v>GVL_J1939.EEC1_ActlEngPrcntTrqueHighResolution</v>
      </c>
      <c r="N13" t="str">
        <f t="shared" si="2"/>
        <v>GVL_J1939.EEC1_ActlEngPrcntTrqueHighResolution;</v>
      </c>
      <c r="O13" t="str">
        <f t="shared" si="3"/>
        <v>EEC1_ActlEngPrcntTrqueHighResolution:REAL; // SPN:4154</v>
      </c>
      <c r="T13" t="s">
        <v>564</v>
      </c>
      <c r="U13" t="s">
        <v>999</v>
      </c>
      <c r="W13" t="s">
        <v>983</v>
      </c>
    </row>
    <row r="14" spans="1:23" hidden="1" x14ac:dyDescent="0.25">
      <c r="A14">
        <v>13</v>
      </c>
      <c r="B14" t="s">
        <v>895</v>
      </c>
      <c r="C14" t="s">
        <v>988</v>
      </c>
      <c r="D14" s="35">
        <v>512</v>
      </c>
      <c r="J14" t="s">
        <v>985</v>
      </c>
      <c r="L14" t="str">
        <f t="shared" si="0"/>
        <v>EEC1_DriversDemandEngPercentTorque</v>
      </c>
      <c r="M14" t="str">
        <f t="shared" si="1"/>
        <v>GVL_J1939.EEC1_DriversDemandEngPercentTorque</v>
      </c>
      <c r="N14" t="str">
        <f t="shared" si="2"/>
        <v>GVL_J1939.EEC1_DriversDemandEngPercentTorque;</v>
      </c>
      <c r="O14" t="str">
        <f t="shared" si="3"/>
        <v>EEC1_DriversDemandEngPercentTorque:INT; // SPN:512</v>
      </c>
      <c r="T14" t="s">
        <v>564</v>
      </c>
      <c r="U14" t="s">
        <v>1000</v>
      </c>
      <c r="W14" t="s">
        <v>1005</v>
      </c>
    </row>
    <row r="15" spans="1:23" x14ac:dyDescent="0.25">
      <c r="A15">
        <v>14</v>
      </c>
      <c r="B15" t="s">
        <v>895</v>
      </c>
      <c r="C15" t="s">
        <v>989</v>
      </c>
      <c r="D15" s="35">
        <v>513</v>
      </c>
      <c r="E15" t="s">
        <v>682</v>
      </c>
      <c r="J15" t="s">
        <v>985</v>
      </c>
      <c r="L15" t="str">
        <f t="shared" si="0"/>
        <v>EEC1_ActualEngPercentTorque</v>
      </c>
      <c r="M15" t="str">
        <f t="shared" si="1"/>
        <v>GVL_J1939.EEC1_ActualEngPercentTorque</v>
      </c>
      <c r="N15" t="str">
        <f t="shared" si="2"/>
        <v>GVL_J1939.EEC1_ActualEngPercentTorque;</v>
      </c>
      <c r="O15" t="str">
        <f t="shared" si="3"/>
        <v>EEC1_ActualEngPercentTorque:INT; // SPN:513</v>
      </c>
      <c r="T15" t="s">
        <v>564</v>
      </c>
      <c r="U15" t="s">
        <v>1001</v>
      </c>
      <c r="W15" t="s">
        <v>1005</v>
      </c>
    </row>
    <row r="16" spans="1:23" x14ac:dyDescent="0.25">
      <c r="A16">
        <v>15</v>
      </c>
      <c r="B16" t="s">
        <v>895</v>
      </c>
      <c r="C16" t="s">
        <v>990</v>
      </c>
      <c r="D16" s="35">
        <v>190</v>
      </c>
      <c r="E16" t="s">
        <v>682</v>
      </c>
      <c r="J16" t="s">
        <v>984</v>
      </c>
      <c r="L16" t="str">
        <f t="shared" si="0"/>
        <v>EEC1_EngSpeed</v>
      </c>
      <c r="M16" t="str">
        <f t="shared" si="1"/>
        <v>GVL_J1939.EEC1_EngSpeed</v>
      </c>
      <c r="N16" t="str">
        <f t="shared" si="2"/>
        <v>GVL_J1939.EEC1_EngSpeed;</v>
      </c>
      <c r="O16" t="str">
        <f t="shared" si="3"/>
        <v>EEC1_EngSpeed:REAL; // SPN:190</v>
      </c>
      <c r="T16" t="s">
        <v>564</v>
      </c>
      <c r="U16" t="s">
        <v>1002</v>
      </c>
      <c r="W16" t="s">
        <v>1005</v>
      </c>
    </row>
    <row r="17" spans="1:23" hidden="1" x14ac:dyDescent="0.25">
      <c r="A17">
        <v>16</v>
      </c>
      <c r="B17" t="s">
        <v>895</v>
      </c>
      <c r="C17" t="s">
        <v>991</v>
      </c>
      <c r="D17" s="35">
        <v>1483</v>
      </c>
      <c r="J17" t="s">
        <v>983</v>
      </c>
      <c r="L17" t="str">
        <f t="shared" si="0"/>
        <v>EEC1_SrcAddrssOfCtrllngDvcFrEngCntrl</v>
      </c>
      <c r="M17" t="str">
        <f t="shared" si="1"/>
        <v>GVL_J1939.EEC1_SrcAddrssOfCtrllngDvcFrEngCntrl</v>
      </c>
      <c r="N17" t="str">
        <f t="shared" si="2"/>
        <v>GVL_J1939.EEC1_SrcAddrssOfCtrllngDvcFrEngCntrl;</v>
      </c>
      <c r="O17" t="str">
        <f t="shared" si="3"/>
        <v>EEC1_SrcAddrssOfCtrllngDvcFrEngCntrl:USINT; // SPN:1483</v>
      </c>
      <c r="T17" t="s">
        <v>564</v>
      </c>
      <c r="U17" t="s">
        <v>1003</v>
      </c>
      <c r="W17" t="s">
        <v>1005</v>
      </c>
    </row>
    <row r="18" spans="1:23" hidden="1" x14ac:dyDescent="0.25">
      <c r="A18">
        <v>17</v>
      </c>
      <c r="B18" t="s">
        <v>895</v>
      </c>
      <c r="C18" t="s">
        <v>992</v>
      </c>
      <c r="D18" s="35">
        <v>1675</v>
      </c>
      <c r="J18" t="s">
        <v>983</v>
      </c>
      <c r="L18" t="str">
        <f t="shared" si="0"/>
        <v>EEC1_EngStarterMode</v>
      </c>
      <c r="M18" t="str">
        <f t="shared" si="1"/>
        <v>GVL_J1939.EEC1_EngStarterMode</v>
      </c>
      <c r="N18" t="str">
        <f t="shared" si="2"/>
        <v>GVL_J1939.EEC1_EngStarterMode;</v>
      </c>
      <c r="O18" t="str">
        <f t="shared" si="3"/>
        <v>EEC1_EngStarterMode:USINT; // SPN:1675</v>
      </c>
      <c r="T18" t="s">
        <v>564</v>
      </c>
      <c r="U18" t="s">
        <v>1004</v>
      </c>
      <c r="W18" t="s">
        <v>1005</v>
      </c>
    </row>
    <row r="19" spans="1:23" hidden="1" x14ac:dyDescent="0.25">
      <c r="A19">
        <v>18</v>
      </c>
      <c r="B19" t="s">
        <v>895</v>
      </c>
      <c r="C19" t="s">
        <v>993</v>
      </c>
      <c r="D19" s="35">
        <v>2432</v>
      </c>
      <c r="J19" t="s">
        <v>985</v>
      </c>
      <c r="L19" t="str">
        <f t="shared" si="0"/>
        <v>EEC1_EngDemandPercentTorque</v>
      </c>
      <c r="M19" t="str">
        <f t="shared" si="1"/>
        <v>GVL_J1939.EEC1_EngDemandPercentTorque</v>
      </c>
      <c r="N19" t="str">
        <f t="shared" si="2"/>
        <v>GVL_J1939.EEC1_EngDemandPercentTorque;</v>
      </c>
      <c r="O19" t="str">
        <f t="shared" si="3"/>
        <v>EEC1_EngDemandPercentTorque:INT; // SPN:2432</v>
      </c>
    </row>
    <row r="20" spans="1:23" hidden="1" x14ac:dyDescent="0.25">
      <c r="A20">
        <v>19</v>
      </c>
      <c r="B20" t="s">
        <v>958</v>
      </c>
      <c r="C20" t="s">
        <v>1006</v>
      </c>
      <c r="D20" s="35">
        <v>588</v>
      </c>
      <c r="J20" t="s">
        <v>983</v>
      </c>
      <c r="L20" t="str">
        <f t="shared" si="0"/>
        <v>EEC2_AccelPedal1LowIdleSwitch</v>
      </c>
      <c r="M20" t="str">
        <f t="shared" si="1"/>
        <v>GVL_J1939.EEC2_AccelPedal1LowIdleSwitch</v>
      </c>
      <c r="N20" t="str">
        <f t="shared" si="2"/>
        <v>GVL_J1939.EEC2_AccelPedal1LowIdleSwitch;</v>
      </c>
      <c r="O20" t="str">
        <f t="shared" si="3"/>
        <v>EEC2_AccelPedal1LowIdleSwitch:USINT; // SPN:588</v>
      </c>
    </row>
    <row r="21" spans="1:23" hidden="1" x14ac:dyDescent="0.25">
      <c r="A21">
        <v>20</v>
      </c>
      <c r="B21" t="s">
        <v>958</v>
      </c>
      <c r="C21" t="s">
        <v>1007</v>
      </c>
      <c r="D21" s="35">
        <v>559</v>
      </c>
      <c r="J21" t="s">
        <v>983</v>
      </c>
      <c r="L21" t="str">
        <f t="shared" si="0"/>
        <v>EEC2_AccelPedalKickdownSwitch</v>
      </c>
      <c r="M21" t="str">
        <f t="shared" si="1"/>
        <v>GVL_J1939.EEC2_AccelPedalKickdownSwitch</v>
      </c>
      <c r="N21" t="str">
        <f t="shared" si="2"/>
        <v>GVL_J1939.EEC2_AccelPedalKickdownSwitch;</v>
      </c>
      <c r="O21" t="str">
        <f t="shared" si="3"/>
        <v>EEC2_AccelPedalKickdownSwitch:USINT; // SPN:559</v>
      </c>
    </row>
    <row r="22" spans="1:23" hidden="1" x14ac:dyDescent="0.25">
      <c r="A22">
        <v>21</v>
      </c>
      <c r="B22" t="s">
        <v>958</v>
      </c>
      <c r="C22" t="s">
        <v>1008</v>
      </c>
      <c r="D22" s="35">
        <v>1437</v>
      </c>
      <c r="J22" t="s">
        <v>983</v>
      </c>
      <c r="L22" t="str">
        <f t="shared" si="0"/>
        <v>EEC2_RoadSpeedLimitStatus</v>
      </c>
      <c r="M22" t="str">
        <f t="shared" si="1"/>
        <v>GVL_J1939.EEC2_RoadSpeedLimitStatus</v>
      </c>
      <c r="N22" t="str">
        <f t="shared" si="2"/>
        <v>GVL_J1939.EEC2_RoadSpeedLimitStatus;</v>
      </c>
      <c r="O22" t="str">
        <f t="shared" si="3"/>
        <v>EEC2_RoadSpeedLimitStatus:USINT; // SPN:1437</v>
      </c>
    </row>
    <row r="23" spans="1:23" hidden="1" x14ac:dyDescent="0.25">
      <c r="A23">
        <v>22</v>
      </c>
      <c r="B23" t="s">
        <v>958</v>
      </c>
      <c r="C23" t="s">
        <v>1009</v>
      </c>
      <c r="D23" s="35">
        <v>2970</v>
      </c>
      <c r="J23" t="s">
        <v>983</v>
      </c>
      <c r="L23" t="str">
        <f t="shared" si="0"/>
        <v>EEC2_AccelPedal2LowIdleSwitch</v>
      </c>
      <c r="M23" t="str">
        <f t="shared" si="1"/>
        <v>GVL_J1939.EEC2_AccelPedal2LowIdleSwitch</v>
      </c>
      <c r="N23" t="str">
        <f t="shared" si="2"/>
        <v>GVL_J1939.EEC2_AccelPedal2LowIdleSwitch;</v>
      </c>
      <c r="O23" t="str">
        <f t="shared" si="3"/>
        <v>EEC2_AccelPedal2LowIdleSwitch:USINT; // SPN:2970</v>
      </c>
    </row>
    <row r="24" spans="1:23" hidden="1" x14ac:dyDescent="0.25">
      <c r="A24">
        <v>23</v>
      </c>
      <c r="B24" t="s">
        <v>958</v>
      </c>
      <c r="C24" t="s">
        <v>1010</v>
      </c>
      <c r="D24" s="35">
        <v>91</v>
      </c>
      <c r="J24" t="s">
        <v>984</v>
      </c>
      <c r="L24" t="str">
        <f t="shared" si="0"/>
        <v>EEC2_AccelPedalPos1</v>
      </c>
      <c r="M24" t="str">
        <f t="shared" si="1"/>
        <v>GVL_J1939.EEC2_AccelPedalPos1</v>
      </c>
      <c r="N24" t="str">
        <f t="shared" si="2"/>
        <v>GVL_J1939.EEC2_AccelPedalPos1;</v>
      </c>
      <c r="O24" t="str">
        <f t="shared" si="3"/>
        <v>EEC2_AccelPedalPos1:REAL; // SPN:91</v>
      </c>
    </row>
    <row r="25" spans="1:23" x14ac:dyDescent="0.25">
      <c r="A25">
        <v>24</v>
      </c>
      <c r="B25" t="s">
        <v>958</v>
      </c>
      <c r="C25" t="s">
        <v>1011</v>
      </c>
      <c r="D25" s="35">
        <v>92</v>
      </c>
      <c r="E25" t="s">
        <v>1176</v>
      </c>
      <c r="J25" t="s">
        <v>983</v>
      </c>
      <c r="L25" t="str">
        <f t="shared" si="0"/>
        <v>EEC2_EngPercentLoadAtCurrentSpeed</v>
      </c>
      <c r="M25" t="str">
        <f t="shared" si="1"/>
        <v>GVL_J1939.EEC2_EngPercentLoadAtCurrentSpeed</v>
      </c>
      <c r="N25" t="str">
        <f t="shared" si="2"/>
        <v>GVL_J1939.EEC2_EngPercentLoadAtCurrentSpeed;</v>
      </c>
      <c r="O25" t="str">
        <f t="shared" si="3"/>
        <v>EEC2_EngPercentLoadAtCurrentSpeed:USINT; // SPN:92</v>
      </c>
    </row>
    <row r="26" spans="1:23" hidden="1" x14ac:dyDescent="0.25">
      <c r="A26">
        <v>25</v>
      </c>
      <c r="B26" t="s">
        <v>958</v>
      </c>
      <c r="C26" t="s">
        <v>1012</v>
      </c>
      <c r="D26" s="35">
        <v>974</v>
      </c>
      <c r="J26" t="s">
        <v>984</v>
      </c>
      <c r="L26" t="str">
        <f t="shared" si="0"/>
        <v>EEC2_RemoteAccelPedalPos</v>
      </c>
      <c r="M26" t="str">
        <f t="shared" si="1"/>
        <v>GVL_J1939.EEC2_RemoteAccelPedalPos</v>
      </c>
      <c r="N26" t="str">
        <f t="shared" si="2"/>
        <v>GVL_J1939.EEC2_RemoteAccelPedalPos;</v>
      </c>
      <c r="O26" t="str">
        <f t="shared" si="3"/>
        <v>EEC2_RemoteAccelPedalPos:REAL; // SPN:974</v>
      </c>
    </row>
    <row r="27" spans="1:23" hidden="1" x14ac:dyDescent="0.25">
      <c r="A27">
        <v>26</v>
      </c>
      <c r="B27" t="s">
        <v>958</v>
      </c>
      <c r="C27" t="s">
        <v>1013</v>
      </c>
      <c r="D27" s="35">
        <v>29</v>
      </c>
      <c r="J27" t="s">
        <v>984</v>
      </c>
      <c r="L27" t="str">
        <f t="shared" si="0"/>
        <v>EEC2_AccelPedalPos2</v>
      </c>
      <c r="M27" t="str">
        <f t="shared" si="1"/>
        <v>GVL_J1939.EEC2_AccelPedalPos2</v>
      </c>
      <c r="N27" t="str">
        <f t="shared" si="2"/>
        <v>GVL_J1939.EEC2_AccelPedalPos2;</v>
      </c>
      <c r="O27" t="str">
        <f t="shared" si="3"/>
        <v>EEC2_AccelPedalPos2:REAL; // SPN:29</v>
      </c>
    </row>
    <row r="28" spans="1:23" hidden="1" x14ac:dyDescent="0.25">
      <c r="A28">
        <v>27</v>
      </c>
      <c r="B28" t="s">
        <v>958</v>
      </c>
      <c r="C28" t="s">
        <v>1014</v>
      </c>
      <c r="D28" s="35">
        <v>2979</v>
      </c>
      <c r="J28" t="s">
        <v>983</v>
      </c>
      <c r="L28" t="str">
        <f t="shared" si="0"/>
        <v>EEC2_VhclAccelerationRateLimitStatus</v>
      </c>
      <c r="M28" t="str">
        <f t="shared" si="1"/>
        <v>GVL_J1939.EEC2_VhclAccelerationRateLimitStatus</v>
      </c>
      <c r="N28" t="str">
        <f t="shared" si="2"/>
        <v>GVL_J1939.EEC2_VhclAccelerationRateLimitStatus;</v>
      </c>
      <c r="O28" t="str">
        <f t="shared" si="3"/>
        <v>EEC2_VhclAccelerationRateLimitStatus:USINT; // SPN:2979</v>
      </c>
    </row>
    <row r="29" spans="1:23" hidden="1" x14ac:dyDescent="0.25">
      <c r="A29">
        <v>28</v>
      </c>
      <c r="B29" t="s">
        <v>958</v>
      </c>
      <c r="C29" t="s">
        <v>1015</v>
      </c>
      <c r="D29" s="35">
        <v>5021</v>
      </c>
      <c r="J29" t="s">
        <v>983</v>
      </c>
      <c r="L29" t="str">
        <f t="shared" si="0"/>
        <v>EEC2_MmntryEngMaxPowerEnableFeedback</v>
      </c>
      <c r="M29" t="str">
        <f t="shared" si="1"/>
        <v>GVL_J1939.EEC2_MmntryEngMaxPowerEnableFeedback</v>
      </c>
      <c r="N29" t="str">
        <f t="shared" si="2"/>
        <v>GVL_J1939.EEC2_MmntryEngMaxPowerEnableFeedback;</v>
      </c>
      <c r="O29" t="str">
        <f t="shared" si="3"/>
        <v>EEC2_MmntryEngMaxPowerEnableFeedback:USINT; // SPN:5021</v>
      </c>
    </row>
    <row r="30" spans="1:23" hidden="1" x14ac:dyDescent="0.25">
      <c r="A30">
        <v>29</v>
      </c>
      <c r="B30" t="s">
        <v>958</v>
      </c>
      <c r="C30" t="s">
        <v>1016</v>
      </c>
      <c r="D30" s="35">
        <v>5399</v>
      </c>
      <c r="J30" t="s">
        <v>983</v>
      </c>
      <c r="L30" t="str">
        <f t="shared" si="0"/>
        <v>EEC2_DPFThermalManagementActive</v>
      </c>
      <c r="M30" t="str">
        <f t="shared" si="1"/>
        <v>GVL_J1939.EEC2_DPFThermalManagementActive</v>
      </c>
      <c r="N30" t="str">
        <f t="shared" si="2"/>
        <v>GVL_J1939.EEC2_DPFThermalManagementActive;</v>
      </c>
      <c r="O30" t="str">
        <f t="shared" si="3"/>
        <v>EEC2_DPFThermalManagementActive:USINT; // SPN:5399</v>
      </c>
    </row>
    <row r="31" spans="1:23" x14ac:dyDescent="0.25">
      <c r="A31">
        <v>30</v>
      </c>
      <c r="B31" t="s">
        <v>958</v>
      </c>
      <c r="C31" t="s">
        <v>1017</v>
      </c>
      <c r="D31" s="35">
        <v>5400</v>
      </c>
      <c r="E31" t="s">
        <v>682</v>
      </c>
      <c r="J31" t="s">
        <v>983</v>
      </c>
      <c r="L31" t="str">
        <f t="shared" si="0"/>
        <v>EEC2_SCRThermalManagementActive</v>
      </c>
      <c r="M31" t="str">
        <f t="shared" si="1"/>
        <v>GVL_J1939.EEC2_SCRThermalManagementActive</v>
      </c>
      <c r="N31" t="str">
        <f t="shared" si="2"/>
        <v>GVL_J1939.EEC2_SCRThermalManagementActive;</v>
      </c>
      <c r="O31" t="str">
        <f t="shared" si="3"/>
        <v>EEC2_SCRThermalManagementActive:USINT; // SPN:5400</v>
      </c>
    </row>
    <row r="32" spans="1:23" x14ac:dyDescent="0.25">
      <c r="A32">
        <v>31</v>
      </c>
      <c r="B32" t="s">
        <v>958</v>
      </c>
      <c r="C32" t="s">
        <v>1018</v>
      </c>
      <c r="D32" s="35">
        <v>3357</v>
      </c>
      <c r="E32" t="s">
        <v>682</v>
      </c>
      <c r="J32" t="s">
        <v>984</v>
      </c>
      <c r="L32" t="str">
        <f t="shared" si="0"/>
        <v>EEC2_ActlMxAvailableEngPercentTorque</v>
      </c>
      <c r="M32" t="str">
        <f t="shared" si="1"/>
        <v>GVL_J1939.EEC2_ActlMxAvailableEngPercentTorque</v>
      </c>
      <c r="N32" t="str">
        <f t="shared" si="2"/>
        <v>GVL_J1939.EEC2_ActlMxAvailableEngPercentTorque;</v>
      </c>
      <c r="O32" t="str">
        <f t="shared" si="3"/>
        <v>EEC2_ActlMxAvailableEngPercentTorque:REAL; // SPN:3357</v>
      </c>
    </row>
    <row r="33" spans="1:15" hidden="1" x14ac:dyDescent="0.25">
      <c r="A33">
        <v>32</v>
      </c>
      <c r="B33" t="s">
        <v>958</v>
      </c>
      <c r="C33" t="s">
        <v>1019</v>
      </c>
      <c r="D33" s="35">
        <v>5398</v>
      </c>
      <c r="J33" t="s">
        <v>985</v>
      </c>
      <c r="L33" t="str">
        <f t="shared" si="0"/>
        <v>EEC2_EstPumpingPercentTorque</v>
      </c>
      <c r="M33" t="str">
        <f t="shared" si="1"/>
        <v>GVL_J1939.EEC2_EstPumpingPercentTorque</v>
      </c>
      <c r="N33" t="str">
        <f t="shared" si="2"/>
        <v>GVL_J1939.EEC2_EstPumpingPercentTorque;</v>
      </c>
      <c r="O33" t="str">
        <f t="shared" si="3"/>
        <v>EEC2_EstPumpingPercentTorque:INT; // SPN:5398</v>
      </c>
    </row>
    <row r="34" spans="1:15" x14ac:dyDescent="0.25">
      <c r="A34">
        <v>33</v>
      </c>
      <c r="B34" t="s">
        <v>898</v>
      </c>
      <c r="C34" t="s">
        <v>1020</v>
      </c>
      <c r="D34" s="35">
        <v>514</v>
      </c>
      <c r="E34" t="s">
        <v>682</v>
      </c>
      <c r="J34" t="s">
        <v>985</v>
      </c>
      <c r="L34" t="str">
        <f t="shared" si="0"/>
        <v>EEC3_NominalFrictionPercentTorque</v>
      </c>
      <c r="M34" t="str">
        <f t="shared" si="1"/>
        <v>GVL_J1939.EEC3_NominalFrictionPercentTorque</v>
      </c>
      <c r="N34" t="str">
        <f t="shared" si="2"/>
        <v>GVL_J1939.EEC3_NominalFrictionPercentTorque;</v>
      </c>
      <c r="O34" t="str">
        <f t="shared" si="3"/>
        <v>EEC3_NominalFrictionPercentTorque:INT; // SPN:514</v>
      </c>
    </row>
    <row r="35" spans="1:15" x14ac:dyDescent="0.25">
      <c r="A35">
        <v>34</v>
      </c>
      <c r="B35" t="s">
        <v>898</v>
      </c>
      <c r="C35" t="s">
        <v>1021</v>
      </c>
      <c r="D35" s="35">
        <v>515</v>
      </c>
      <c r="E35" t="s">
        <v>682</v>
      </c>
      <c r="J35" t="s">
        <v>1029</v>
      </c>
      <c r="L35" t="str">
        <f t="shared" si="0"/>
        <v>EEC3_EngsDesiredOperatingSpeed</v>
      </c>
      <c r="M35" t="str">
        <f t="shared" si="1"/>
        <v>GVL_J1939.EEC3_EngsDesiredOperatingSpeed</v>
      </c>
      <c r="N35" t="str">
        <f t="shared" si="2"/>
        <v>GVL_J1939.EEC3_EngsDesiredOperatingSpeed;</v>
      </c>
      <c r="O35" t="str">
        <f t="shared" si="3"/>
        <v>EEC3_EngsDesiredOperatingSpeed:REAl; // SPN:515</v>
      </c>
    </row>
    <row r="36" spans="1:15" hidden="1" x14ac:dyDescent="0.25">
      <c r="A36">
        <v>35</v>
      </c>
      <c r="B36" t="s">
        <v>898</v>
      </c>
      <c r="C36" t="s">
        <v>1022</v>
      </c>
      <c r="D36" s="35">
        <v>519</v>
      </c>
      <c r="J36" t="s">
        <v>983</v>
      </c>
      <c r="L36" t="str">
        <f t="shared" si="0"/>
        <v>EEC3_EngsDsrdOprtngSpdAsymmtryAdjstmn</v>
      </c>
      <c r="M36" t="str">
        <f t="shared" si="1"/>
        <v>GVL_J1939.EEC3_EngsDsrdOprtngSpdAsymmtryAdjstmn</v>
      </c>
      <c r="N36" t="str">
        <f t="shared" si="2"/>
        <v>GVL_J1939.EEC3_EngsDsrdOprtngSpdAsymmtryAdjstmn;</v>
      </c>
      <c r="O36" t="str">
        <f t="shared" si="3"/>
        <v>EEC3_EngsDsrdOprtngSpdAsymmtryAdjstmn:USINT; // SPN:519</v>
      </c>
    </row>
    <row r="37" spans="1:15" hidden="1" x14ac:dyDescent="0.25">
      <c r="A37">
        <v>36</v>
      </c>
      <c r="B37" t="s">
        <v>898</v>
      </c>
      <c r="C37" t="s">
        <v>1023</v>
      </c>
      <c r="D37" s="35">
        <v>2978</v>
      </c>
      <c r="J37" t="s">
        <v>985</v>
      </c>
      <c r="L37" t="str">
        <f t="shared" si="0"/>
        <v>EEC3_EstEngPrsticLossesPercentTorque</v>
      </c>
      <c r="M37" t="str">
        <f t="shared" si="1"/>
        <v>GVL_J1939.EEC3_EstEngPrsticLossesPercentTorque</v>
      </c>
      <c r="N37" t="str">
        <f t="shared" si="2"/>
        <v>GVL_J1939.EEC3_EstEngPrsticLossesPercentTorque;</v>
      </c>
      <c r="O37" t="str">
        <f t="shared" si="3"/>
        <v>EEC3_EstEngPrsticLossesPercentTorque:INT; // SPN:2978</v>
      </c>
    </row>
    <row r="38" spans="1:15" hidden="1" x14ac:dyDescent="0.25">
      <c r="A38">
        <v>37</v>
      </c>
      <c r="B38" t="s">
        <v>898</v>
      </c>
      <c r="C38" t="s">
        <v>1024</v>
      </c>
      <c r="D38" s="35">
        <v>3236</v>
      </c>
      <c r="J38" t="s">
        <v>984</v>
      </c>
      <c r="L38" t="str">
        <f t="shared" si="0"/>
        <v>EEC3_Aftrtratment1ExhaustGasMassFlow</v>
      </c>
      <c r="M38" t="str">
        <f t="shared" si="1"/>
        <v>GVL_J1939.EEC3_Aftrtratment1ExhaustGasMassFlow</v>
      </c>
      <c r="N38" t="str">
        <f t="shared" si="2"/>
        <v>GVL_J1939.EEC3_Aftrtratment1ExhaustGasMassFlow;</v>
      </c>
      <c r="O38" t="str">
        <f t="shared" si="3"/>
        <v>EEC3_Aftrtratment1ExhaustGasMassFlow:REAL; // SPN:3236</v>
      </c>
    </row>
    <row r="39" spans="1:15" hidden="1" x14ac:dyDescent="0.25">
      <c r="A39">
        <v>38</v>
      </c>
      <c r="B39" t="s">
        <v>898</v>
      </c>
      <c r="C39" t="s">
        <v>1025</v>
      </c>
      <c r="D39" s="35">
        <v>3237</v>
      </c>
      <c r="J39" t="s">
        <v>983</v>
      </c>
      <c r="L39" t="str">
        <f t="shared" si="0"/>
        <v>EEC3_Aftertreatment1IntakeDewPoint</v>
      </c>
      <c r="M39" t="str">
        <f t="shared" si="1"/>
        <v>GVL_J1939.EEC3_Aftertreatment1IntakeDewPoint</v>
      </c>
      <c r="N39" t="str">
        <f t="shared" si="2"/>
        <v>GVL_J1939.EEC3_Aftertreatment1IntakeDewPoint;</v>
      </c>
      <c r="O39" t="str">
        <f t="shared" si="3"/>
        <v>EEC3_Aftertreatment1IntakeDewPoint:USINT; // SPN:3237</v>
      </c>
    </row>
    <row r="40" spans="1:15" hidden="1" x14ac:dyDescent="0.25">
      <c r="A40">
        <v>39</v>
      </c>
      <c r="B40" t="s">
        <v>898</v>
      </c>
      <c r="C40" t="s">
        <v>1026</v>
      </c>
      <c r="D40" s="35">
        <v>3238</v>
      </c>
      <c r="J40" t="s">
        <v>983</v>
      </c>
      <c r="L40" t="str">
        <f t="shared" si="0"/>
        <v>EEC3_Aftertreatment1ExhaustDewPoint</v>
      </c>
      <c r="M40" t="str">
        <f t="shared" si="1"/>
        <v>GVL_J1939.EEC3_Aftertreatment1ExhaustDewPoint</v>
      </c>
      <c r="N40" t="str">
        <f t="shared" si="2"/>
        <v>GVL_J1939.EEC3_Aftertreatment1ExhaustDewPoint;</v>
      </c>
      <c r="O40" t="str">
        <f t="shared" si="3"/>
        <v>EEC3_Aftertreatment1ExhaustDewPoint:USINT; // SPN:3238</v>
      </c>
    </row>
    <row r="41" spans="1:15" hidden="1" x14ac:dyDescent="0.25">
      <c r="A41">
        <v>40</v>
      </c>
      <c r="B41" t="s">
        <v>898</v>
      </c>
      <c r="C41" t="s">
        <v>1027</v>
      </c>
      <c r="D41" s="35">
        <v>3239</v>
      </c>
      <c r="J41" t="s">
        <v>983</v>
      </c>
      <c r="L41" t="str">
        <f t="shared" si="0"/>
        <v>EEC3_Aftertreatment2IntakeDewPoint</v>
      </c>
      <c r="M41" t="str">
        <f t="shared" si="1"/>
        <v>GVL_J1939.EEC3_Aftertreatment2IntakeDewPoint</v>
      </c>
      <c r="N41" t="str">
        <f t="shared" si="2"/>
        <v>GVL_J1939.EEC3_Aftertreatment2IntakeDewPoint;</v>
      </c>
      <c r="O41" t="str">
        <f t="shared" si="3"/>
        <v>EEC3_Aftertreatment2IntakeDewPoint:USINT; // SPN:3239</v>
      </c>
    </row>
    <row r="42" spans="1:15" hidden="1" x14ac:dyDescent="0.25">
      <c r="A42">
        <v>41</v>
      </c>
      <c r="B42" t="s">
        <v>898</v>
      </c>
      <c r="C42" t="s">
        <v>1028</v>
      </c>
      <c r="D42" s="35">
        <v>3240</v>
      </c>
      <c r="J42" t="s">
        <v>983</v>
      </c>
      <c r="L42" t="str">
        <f t="shared" si="0"/>
        <v>EEC3_Aftertreatment2ExhaustDewPoint</v>
      </c>
      <c r="M42" t="str">
        <f t="shared" si="1"/>
        <v>GVL_J1939.EEC3_Aftertreatment2ExhaustDewPoint</v>
      </c>
      <c r="N42" t="str">
        <f t="shared" si="2"/>
        <v>GVL_J1939.EEC3_Aftertreatment2ExhaustDewPoint;</v>
      </c>
      <c r="O42" t="str">
        <f t="shared" si="3"/>
        <v>EEC3_Aftertreatment2ExhaustDewPoint:USINT; // SPN:3240</v>
      </c>
    </row>
    <row r="43" spans="1:15" hidden="1" x14ac:dyDescent="0.25">
      <c r="A43">
        <v>42</v>
      </c>
      <c r="B43" t="s">
        <v>946</v>
      </c>
      <c r="C43" t="s">
        <v>1030</v>
      </c>
      <c r="D43" s="35">
        <v>2789</v>
      </c>
      <c r="J43" t="s">
        <v>984</v>
      </c>
      <c r="L43" t="str">
        <f t="shared" si="0"/>
        <v>EEC5_EngTrb1ClcltedTurbineIntakeTemp</v>
      </c>
      <c r="M43" t="str">
        <f t="shared" si="1"/>
        <v>GVL_J1939.EEC5_EngTrb1ClcltedTurbineIntakeTemp</v>
      </c>
      <c r="N43" t="str">
        <f t="shared" si="2"/>
        <v>GVL_J1939.EEC5_EngTrb1ClcltedTurbineIntakeTemp;</v>
      </c>
      <c r="O43" t="str">
        <f t="shared" si="3"/>
        <v>EEC5_EngTrb1ClcltedTurbineIntakeTemp:REAL; // SPN:2789</v>
      </c>
    </row>
    <row r="44" spans="1:15" hidden="1" x14ac:dyDescent="0.25">
      <c r="A44">
        <v>43</v>
      </c>
      <c r="B44" t="s">
        <v>946</v>
      </c>
      <c r="C44" t="s">
        <v>1031</v>
      </c>
      <c r="D44" s="35">
        <v>2790</v>
      </c>
      <c r="J44" t="s">
        <v>984</v>
      </c>
      <c r="L44" t="str">
        <f t="shared" si="0"/>
        <v>EEC5_EngTrb1ClcltedTurbineOutletTemp</v>
      </c>
      <c r="M44" t="str">
        <f t="shared" si="1"/>
        <v>GVL_J1939.EEC5_EngTrb1ClcltedTurbineOutletTemp</v>
      </c>
      <c r="N44" t="str">
        <f t="shared" si="2"/>
        <v>GVL_J1939.EEC5_EngTrb1ClcltedTurbineOutletTemp;</v>
      </c>
      <c r="O44" t="str">
        <f t="shared" si="3"/>
        <v>EEC5_EngTrb1ClcltedTurbineOutletTemp:REAL; // SPN:2790</v>
      </c>
    </row>
    <row r="45" spans="1:15" x14ac:dyDescent="0.25">
      <c r="A45">
        <v>44</v>
      </c>
      <c r="B45" t="s">
        <v>946</v>
      </c>
      <c r="C45" t="s">
        <v>1032</v>
      </c>
      <c r="D45" s="35">
        <v>2791</v>
      </c>
      <c r="E45" t="s">
        <v>682</v>
      </c>
      <c r="J45" t="s">
        <v>984</v>
      </c>
      <c r="L45" t="str">
        <f t="shared" si="0"/>
        <v>EEC5_EngExhstGsRcrculation1ValveCtrl</v>
      </c>
      <c r="M45" t="str">
        <f t="shared" si="1"/>
        <v>GVL_J1939.EEC5_EngExhstGsRcrculation1ValveCtrl</v>
      </c>
      <c r="N45" t="str">
        <f t="shared" si="2"/>
        <v>GVL_J1939.EEC5_EngExhstGsRcrculation1ValveCtrl;</v>
      </c>
      <c r="O45" t="str">
        <f t="shared" si="3"/>
        <v>EEC5_EngExhstGsRcrculation1ValveCtrl:REAL; // SPN:2791</v>
      </c>
    </row>
    <row r="46" spans="1:15" hidden="1" x14ac:dyDescent="0.25">
      <c r="A46">
        <v>45</v>
      </c>
      <c r="B46" t="s">
        <v>946</v>
      </c>
      <c r="C46" t="s">
        <v>1033</v>
      </c>
      <c r="D46" s="35">
        <v>2792</v>
      </c>
      <c r="J46" t="s">
        <v>983</v>
      </c>
      <c r="L46" t="str">
        <f t="shared" si="0"/>
        <v>EEC5_EngVrblGmtryTrbArCtrlShtffValve</v>
      </c>
      <c r="M46" t="str">
        <f t="shared" si="1"/>
        <v>GVL_J1939.EEC5_EngVrblGmtryTrbArCtrlShtffValve</v>
      </c>
      <c r="N46" t="str">
        <f t="shared" si="2"/>
        <v>GVL_J1939.EEC5_EngVrblGmtryTrbArCtrlShtffValve;</v>
      </c>
      <c r="O46" t="str">
        <f t="shared" si="3"/>
        <v>EEC5_EngVrblGmtryTrbArCtrlShtffValve:USINT; // SPN:2792</v>
      </c>
    </row>
    <row r="47" spans="1:15" hidden="1" x14ac:dyDescent="0.25">
      <c r="A47">
        <v>46</v>
      </c>
      <c r="B47" t="s">
        <v>946</v>
      </c>
      <c r="C47" t="s">
        <v>1034</v>
      </c>
      <c r="D47" s="35">
        <v>5457</v>
      </c>
      <c r="J47" t="s">
        <v>983</v>
      </c>
      <c r="L47" t="str">
        <f t="shared" si="0"/>
        <v>EEC5_EngVrableGeometryTurbo1CtrlMode</v>
      </c>
      <c r="M47" t="str">
        <f t="shared" si="1"/>
        <v>GVL_J1939.EEC5_EngVrableGeometryTurbo1CtrlMode</v>
      </c>
      <c r="N47" t="str">
        <f t="shared" si="2"/>
        <v>GVL_J1939.EEC5_EngVrableGeometryTurbo1CtrlMode;</v>
      </c>
      <c r="O47" t="str">
        <f t="shared" si="3"/>
        <v>EEC5_EngVrableGeometryTurbo1CtrlMode:USINT; // SPN:5457</v>
      </c>
    </row>
    <row r="48" spans="1:15" hidden="1" x14ac:dyDescent="0.25">
      <c r="A48">
        <v>47</v>
      </c>
      <c r="B48" t="s">
        <v>946</v>
      </c>
      <c r="C48" t="s">
        <v>1035</v>
      </c>
      <c r="D48" s="35">
        <v>2795</v>
      </c>
      <c r="J48" t="s">
        <v>984</v>
      </c>
      <c r="L48" t="str">
        <f t="shared" si="0"/>
        <v>EEC5_EngVrblGometryTurbo1ActuatorPos</v>
      </c>
      <c r="M48" t="str">
        <f t="shared" si="1"/>
        <v>GVL_J1939.EEC5_EngVrblGometryTurbo1ActuatorPos</v>
      </c>
      <c r="N48" t="str">
        <f t="shared" si="2"/>
        <v>GVL_J1939.EEC5_EngVrblGometryTurbo1ActuatorPos;</v>
      </c>
      <c r="O48" t="str">
        <f t="shared" si="3"/>
        <v>EEC5_EngVrblGometryTurbo1ActuatorPos:REAL; // SPN:2795</v>
      </c>
    </row>
    <row r="49" spans="1:15" x14ac:dyDescent="0.25">
      <c r="A49">
        <v>48</v>
      </c>
      <c r="B49" t="s">
        <v>900</v>
      </c>
      <c r="C49" t="s">
        <v>1036</v>
      </c>
      <c r="D49" s="35">
        <v>1637</v>
      </c>
      <c r="E49" t="s">
        <v>682</v>
      </c>
      <c r="J49" t="s">
        <v>985</v>
      </c>
      <c r="L49" t="str">
        <f t="shared" si="0"/>
        <v>ET1_EngCoolantTemp</v>
      </c>
      <c r="M49" t="str">
        <f t="shared" si="1"/>
        <v>GVL_J1939.ET1_EngCoolantTemp</v>
      </c>
      <c r="N49" t="str">
        <f t="shared" si="2"/>
        <v>GVL_J1939.ET1_EngCoolantTemp;</v>
      </c>
      <c r="O49" t="str">
        <f t="shared" si="3"/>
        <v>ET1_EngCoolantTemp:INT; // SPN:1637</v>
      </c>
    </row>
    <row r="50" spans="1:15" x14ac:dyDescent="0.25">
      <c r="A50">
        <v>49</v>
      </c>
      <c r="B50" t="s">
        <v>900</v>
      </c>
      <c r="C50" t="s">
        <v>1037</v>
      </c>
      <c r="D50" s="35">
        <v>174</v>
      </c>
      <c r="E50" t="s">
        <v>682</v>
      </c>
      <c r="J50" t="s">
        <v>985</v>
      </c>
      <c r="L50" t="str">
        <f t="shared" si="0"/>
        <v>ET1_EngFuelTemp1</v>
      </c>
      <c r="M50" t="str">
        <f t="shared" si="1"/>
        <v>GVL_J1939.ET1_EngFuelTemp1</v>
      </c>
      <c r="N50" t="str">
        <f t="shared" si="2"/>
        <v>GVL_J1939.ET1_EngFuelTemp1;</v>
      </c>
      <c r="O50" t="str">
        <f t="shared" si="3"/>
        <v>ET1_EngFuelTemp1:INT; // SPN:174</v>
      </c>
    </row>
    <row r="51" spans="1:15" hidden="1" x14ac:dyDescent="0.25">
      <c r="A51">
        <v>50</v>
      </c>
      <c r="B51" t="s">
        <v>900</v>
      </c>
      <c r="C51" t="s">
        <v>1038</v>
      </c>
      <c r="D51" s="35">
        <v>175</v>
      </c>
      <c r="J51" t="s">
        <v>984</v>
      </c>
      <c r="L51" t="str">
        <f t="shared" si="0"/>
        <v>ET1_EngOilTemp1</v>
      </c>
      <c r="M51" t="str">
        <f t="shared" si="1"/>
        <v>GVL_J1939.ET1_EngOilTemp1</v>
      </c>
      <c r="N51" t="str">
        <f t="shared" si="2"/>
        <v>GVL_J1939.ET1_EngOilTemp1;</v>
      </c>
      <c r="O51" t="str">
        <f t="shared" si="3"/>
        <v>ET1_EngOilTemp1:REAL; // SPN:175</v>
      </c>
    </row>
    <row r="52" spans="1:15" hidden="1" x14ac:dyDescent="0.25">
      <c r="A52">
        <v>51</v>
      </c>
      <c r="B52" t="s">
        <v>900</v>
      </c>
      <c r="C52" t="s">
        <v>1039</v>
      </c>
      <c r="D52" s="35">
        <v>176</v>
      </c>
      <c r="J52" t="s">
        <v>984</v>
      </c>
      <c r="L52" t="str">
        <f t="shared" si="0"/>
        <v>ET1_EngTurboOilTemp</v>
      </c>
      <c r="M52" t="str">
        <f t="shared" si="1"/>
        <v>GVL_J1939.ET1_EngTurboOilTemp</v>
      </c>
      <c r="N52" t="str">
        <f t="shared" si="2"/>
        <v>GVL_J1939.ET1_EngTurboOilTemp;</v>
      </c>
      <c r="O52" t="str">
        <f t="shared" si="3"/>
        <v>ET1_EngTurboOilTemp:REAL; // SPN:176</v>
      </c>
    </row>
    <row r="53" spans="1:15" hidden="1" x14ac:dyDescent="0.25">
      <c r="A53">
        <v>52</v>
      </c>
      <c r="B53" t="s">
        <v>900</v>
      </c>
      <c r="C53" t="s">
        <v>1040</v>
      </c>
      <c r="D53" s="35">
        <v>52</v>
      </c>
      <c r="J53" t="s">
        <v>985</v>
      </c>
      <c r="L53" t="str">
        <f t="shared" si="0"/>
        <v>ET1_EngIntercoolerTemp</v>
      </c>
      <c r="M53" t="str">
        <f t="shared" si="1"/>
        <v>GVL_J1939.ET1_EngIntercoolerTemp</v>
      </c>
      <c r="N53" t="str">
        <f t="shared" si="2"/>
        <v>GVL_J1939.ET1_EngIntercoolerTemp;</v>
      </c>
      <c r="O53" t="str">
        <f t="shared" si="3"/>
        <v>ET1_EngIntercoolerTemp:INT; // SPN:52</v>
      </c>
    </row>
    <row r="54" spans="1:15" hidden="1" x14ac:dyDescent="0.25">
      <c r="A54">
        <v>53</v>
      </c>
      <c r="B54" t="s">
        <v>900</v>
      </c>
      <c r="C54" t="s">
        <v>1041</v>
      </c>
      <c r="D54" s="35">
        <v>1134</v>
      </c>
      <c r="J54" t="s">
        <v>984</v>
      </c>
      <c r="L54" t="str">
        <f t="shared" si="0"/>
        <v>ET1_EngIntercoolerThermostatOpening</v>
      </c>
      <c r="M54" t="str">
        <f t="shared" si="1"/>
        <v>GVL_J1939.ET1_EngIntercoolerThermostatOpening</v>
      </c>
      <c r="N54" t="str">
        <f t="shared" si="2"/>
        <v>GVL_J1939.ET1_EngIntercoolerThermostatOpening;</v>
      </c>
      <c r="O54" t="str">
        <f t="shared" si="3"/>
        <v>ET1_EngIntercoolerThermostatOpening:REAL; // SPN:1134</v>
      </c>
    </row>
    <row r="55" spans="1:15" hidden="1" x14ac:dyDescent="0.25">
      <c r="A55">
        <v>54</v>
      </c>
      <c r="B55" t="s">
        <v>1050</v>
      </c>
      <c r="C55" t="s">
        <v>1042</v>
      </c>
      <c r="D55" s="35">
        <v>94</v>
      </c>
      <c r="J55" t="s">
        <v>1049</v>
      </c>
      <c r="L55" t="str">
        <f t="shared" si="0"/>
        <v>EFL_P1_EngFuelDeliveryPress</v>
      </c>
      <c r="M55" t="str">
        <f t="shared" si="1"/>
        <v>GVL_J1939.EFL_P1_EngFuelDeliveryPress</v>
      </c>
      <c r="N55" t="str">
        <f t="shared" si="2"/>
        <v>GVL_J1939.EFL_P1_EngFuelDeliveryPress;</v>
      </c>
      <c r="O55" t="str">
        <f t="shared" si="3"/>
        <v>EFL_P1_EngFuelDeliveryPress:UINT; // SPN:94</v>
      </c>
    </row>
    <row r="56" spans="1:15" hidden="1" x14ac:dyDescent="0.25">
      <c r="A56">
        <v>55</v>
      </c>
      <c r="B56" t="s">
        <v>1050</v>
      </c>
      <c r="C56" t="s">
        <v>1043</v>
      </c>
      <c r="D56" s="35">
        <v>22</v>
      </c>
      <c r="J56" t="s">
        <v>984</v>
      </c>
      <c r="L56" t="str">
        <f t="shared" si="0"/>
        <v>EFL_P1_EngExCrankcaseBlowbyPress</v>
      </c>
      <c r="M56" t="str">
        <f t="shared" si="1"/>
        <v>GVL_J1939.EFL_P1_EngExCrankcaseBlowbyPress</v>
      </c>
      <c r="N56" t="str">
        <f t="shared" si="2"/>
        <v>GVL_J1939.EFL_P1_EngExCrankcaseBlowbyPress;</v>
      </c>
      <c r="O56" t="str">
        <f t="shared" si="3"/>
        <v>EFL_P1_EngExCrankcaseBlowbyPress:REAL; // SPN:22</v>
      </c>
    </row>
    <row r="57" spans="1:15" hidden="1" x14ac:dyDescent="0.25">
      <c r="A57">
        <v>56</v>
      </c>
      <c r="B57" t="s">
        <v>1050</v>
      </c>
      <c r="C57" t="s">
        <v>1044</v>
      </c>
      <c r="D57" s="35">
        <v>98</v>
      </c>
      <c r="J57" t="s">
        <v>984</v>
      </c>
      <c r="L57" t="str">
        <f t="shared" si="0"/>
        <v>EFL_P1_EngOilLevel</v>
      </c>
      <c r="M57" t="str">
        <f t="shared" si="1"/>
        <v>GVL_J1939.EFL_P1_EngOilLevel</v>
      </c>
      <c r="N57" t="str">
        <f t="shared" si="2"/>
        <v>GVL_J1939.EFL_P1_EngOilLevel;</v>
      </c>
      <c r="O57" t="str">
        <f t="shared" si="3"/>
        <v>EFL_P1_EngOilLevel:REAL; // SPN:98</v>
      </c>
    </row>
    <row r="58" spans="1:15" x14ac:dyDescent="0.25">
      <c r="A58">
        <v>57</v>
      </c>
      <c r="B58" t="s">
        <v>1050</v>
      </c>
      <c r="C58" t="s">
        <v>1045</v>
      </c>
      <c r="D58" s="35">
        <v>100</v>
      </c>
      <c r="E58" t="s">
        <v>682</v>
      </c>
      <c r="J58" t="s">
        <v>1049</v>
      </c>
      <c r="L58" t="str">
        <f t="shared" si="0"/>
        <v>EFL_P1_EngOilPress</v>
      </c>
      <c r="M58" t="str">
        <f t="shared" si="1"/>
        <v>GVL_J1939.EFL_P1_EngOilPress</v>
      </c>
      <c r="N58" t="str">
        <f t="shared" si="2"/>
        <v>GVL_J1939.EFL_P1_EngOilPress;</v>
      </c>
      <c r="O58" t="str">
        <f t="shared" si="3"/>
        <v>EFL_P1_EngOilPress:UINT; // SPN:100</v>
      </c>
    </row>
    <row r="59" spans="1:15" hidden="1" x14ac:dyDescent="0.25">
      <c r="A59">
        <v>58</v>
      </c>
      <c r="B59" t="s">
        <v>1050</v>
      </c>
      <c r="C59" t="s">
        <v>1046</v>
      </c>
      <c r="D59" s="35">
        <v>101</v>
      </c>
      <c r="J59" t="s">
        <v>1029</v>
      </c>
      <c r="L59" t="str">
        <f t="shared" si="0"/>
        <v>EFL_P1_EngCrankcasePress</v>
      </c>
      <c r="M59" t="str">
        <f t="shared" si="1"/>
        <v>GVL_J1939.EFL_P1_EngCrankcasePress</v>
      </c>
      <c r="N59" t="str">
        <f t="shared" si="2"/>
        <v>GVL_J1939.EFL_P1_EngCrankcasePress;</v>
      </c>
      <c r="O59" t="str">
        <f t="shared" si="3"/>
        <v>EFL_P1_EngCrankcasePress:REAl; // SPN:101</v>
      </c>
    </row>
    <row r="60" spans="1:15" hidden="1" x14ac:dyDescent="0.25">
      <c r="A60">
        <v>59</v>
      </c>
      <c r="B60" t="s">
        <v>1050</v>
      </c>
      <c r="C60" t="s">
        <v>1047</v>
      </c>
      <c r="D60" s="35">
        <v>109</v>
      </c>
      <c r="J60" t="s">
        <v>1049</v>
      </c>
      <c r="L60" t="str">
        <f t="shared" si="0"/>
        <v>EFL_P1_EngCoolantPress</v>
      </c>
      <c r="M60" t="str">
        <f t="shared" si="1"/>
        <v>GVL_J1939.EFL_P1_EngCoolantPress</v>
      </c>
      <c r="N60" t="str">
        <f t="shared" si="2"/>
        <v>GVL_J1939.EFL_P1_EngCoolantPress;</v>
      </c>
      <c r="O60" t="str">
        <f t="shared" si="3"/>
        <v>EFL_P1_EngCoolantPress:UINT; // SPN:109</v>
      </c>
    </row>
    <row r="61" spans="1:15" x14ac:dyDescent="0.25">
      <c r="A61">
        <v>60</v>
      </c>
      <c r="B61" t="s">
        <v>1050</v>
      </c>
      <c r="C61" t="s">
        <v>1048</v>
      </c>
      <c r="D61" s="35">
        <v>111</v>
      </c>
      <c r="E61" t="s">
        <v>682</v>
      </c>
      <c r="J61" t="s">
        <v>984</v>
      </c>
      <c r="L61" t="str">
        <f t="shared" si="0"/>
        <v>EFL_P1_EngCoolantLevel</v>
      </c>
      <c r="M61" t="str">
        <f t="shared" si="1"/>
        <v>GVL_J1939.EFL_P1_EngCoolantLevel</v>
      </c>
      <c r="N61" t="str">
        <f t="shared" si="2"/>
        <v>GVL_J1939.EFL_P1_EngCoolantLevel;</v>
      </c>
      <c r="O61" t="str">
        <f t="shared" si="3"/>
        <v>EFL_P1_EngCoolantLevel:REAL; // SPN:111</v>
      </c>
    </row>
    <row r="62" spans="1:15" hidden="1" x14ac:dyDescent="0.25">
      <c r="A62">
        <v>61</v>
      </c>
      <c r="B62" t="s">
        <v>972</v>
      </c>
      <c r="C62" t="s">
        <v>1051</v>
      </c>
      <c r="D62" s="35">
        <v>164</v>
      </c>
      <c r="J62" t="s">
        <v>1055</v>
      </c>
      <c r="L62" t="str">
        <f t="shared" si="0"/>
        <v>EFL_P2_EngInjectionCtrlPress</v>
      </c>
      <c r="M62" t="str">
        <f t="shared" si="1"/>
        <v>GVL_J1939.EFL_P2_EngInjectionCtrlPress</v>
      </c>
      <c r="N62" t="str">
        <f t="shared" si="2"/>
        <v>GVL_J1939.EFL_P2_EngInjectionCtrlPress;</v>
      </c>
      <c r="O62" t="str">
        <f t="shared" si="3"/>
        <v>EFL_P2_EngInjectionCtrlPress:LREAL; // SPN:164</v>
      </c>
    </row>
    <row r="63" spans="1:15" x14ac:dyDescent="0.25">
      <c r="A63">
        <v>62</v>
      </c>
      <c r="B63" t="s">
        <v>972</v>
      </c>
      <c r="C63" t="s">
        <v>1052</v>
      </c>
      <c r="D63" s="35">
        <v>157</v>
      </c>
      <c r="E63" t="s">
        <v>682</v>
      </c>
      <c r="J63" t="s">
        <v>1055</v>
      </c>
      <c r="L63" t="str">
        <f t="shared" si="0"/>
        <v>EFL_P2_EngInjectorMeteringRail1Press</v>
      </c>
      <c r="M63" t="str">
        <f t="shared" si="1"/>
        <v>GVL_J1939.EFL_P2_EngInjectorMeteringRail1Press</v>
      </c>
      <c r="N63" t="str">
        <f t="shared" si="2"/>
        <v>GVL_J1939.EFL_P2_EngInjectorMeteringRail1Press;</v>
      </c>
      <c r="O63" t="str">
        <f t="shared" si="3"/>
        <v>EFL_P2_EngInjectorMeteringRail1Press:LREAL; // SPN:157</v>
      </c>
    </row>
    <row r="64" spans="1:15" hidden="1" x14ac:dyDescent="0.25">
      <c r="A64">
        <v>63</v>
      </c>
      <c r="B64" t="s">
        <v>972</v>
      </c>
      <c r="C64" t="s">
        <v>1053</v>
      </c>
      <c r="D64" s="35">
        <v>156</v>
      </c>
      <c r="J64" t="s">
        <v>1055</v>
      </c>
      <c r="L64" t="str">
        <f t="shared" si="0"/>
        <v>EFL_P2_EngInjectorTimingRail1Press</v>
      </c>
      <c r="M64" t="str">
        <f t="shared" si="1"/>
        <v>GVL_J1939.EFL_P2_EngInjectorTimingRail1Press</v>
      </c>
      <c r="N64" t="str">
        <f t="shared" si="2"/>
        <v>GVL_J1939.EFL_P2_EngInjectorTimingRail1Press;</v>
      </c>
      <c r="O64" t="str">
        <f t="shared" si="3"/>
        <v>EFL_P2_EngInjectorTimingRail1Press:LREAL; // SPN:156</v>
      </c>
    </row>
    <row r="65" spans="1:15" hidden="1" x14ac:dyDescent="0.25">
      <c r="A65">
        <v>64</v>
      </c>
      <c r="B65" t="s">
        <v>972</v>
      </c>
      <c r="C65" t="s">
        <v>1054</v>
      </c>
      <c r="D65" s="35">
        <v>1349</v>
      </c>
      <c r="J65" t="s">
        <v>1055</v>
      </c>
      <c r="L65" t="str">
        <f t="shared" si="0"/>
        <v>EFL_P2_EngInjectorMeteringRail2Press</v>
      </c>
      <c r="M65" t="str">
        <f t="shared" si="1"/>
        <v>GVL_J1939.EFL_P2_EngInjectorMeteringRail2Press</v>
      </c>
      <c r="N65" t="str">
        <f t="shared" si="2"/>
        <v>GVL_J1939.EFL_P2_EngInjectorMeteringRail2Press;</v>
      </c>
      <c r="O65" t="str">
        <f t="shared" si="3"/>
        <v>EFL_P2_EngInjectorMeteringRail2Press:LREAL; // SPN:1349</v>
      </c>
    </row>
    <row r="66" spans="1:15" hidden="1" x14ac:dyDescent="0.25">
      <c r="A66">
        <v>65</v>
      </c>
      <c r="B66" t="s">
        <v>903</v>
      </c>
      <c r="C66" t="s">
        <v>1056</v>
      </c>
      <c r="D66" s="35">
        <v>182</v>
      </c>
      <c r="J66" t="s">
        <v>984</v>
      </c>
      <c r="L66" t="str">
        <f t="shared" si="0"/>
        <v>LFC_EngTripFuel</v>
      </c>
      <c r="M66" t="str">
        <f t="shared" si="1"/>
        <v>GVL_J1939.LFC_EngTripFuel</v>
      </c>
      <c r="N66" t="str">
        <f t="shared" si="2"/>
        <v>GVL_J1939.LFC_EngTripFuel;</v>
      </c>
      <c r="O66" t="str">
        <f t="shared" si="3"/>
        <v>LFC_EngTripFuel:REAL; // SPN:182</v>
      </c>
    </row>
    <row r="67" spans="1:15" x14ac:dyDescent="0.25">
      <c r="A67">
        <v>66</v>
      </c>
      <c r="B67" t="s">
        <v>903</v>
      </c>
      <c r="C67" t="s">
        <v>1057</v>
      </c>
      <c r="D67" s="35">
        <v>250</v>
      </c>
      <c r="E67" t="s">
        <v>682</v>
      </c>
      <c r="J67" t="s">
        <v>984</v>
      </c>
      <c r="L67" t="str">
        <f t="shared" ref="L67:L130" si="4">IF(C67&lt;&gt;"",_xlfn.CONCAT(B67,"_",C67),"")</f>
        <v>LFC_EngTotalFuelUsed</v>
      </c>
      <c r="M67" t="str">
        <f t="shared" ref="M67:M130" si="5">_xlfn.CONCAT($M$1,L67)</f>
        <v>GVL_J1939.LFC_EngTotalFuelUsed</v>
      </c>
      <c r="N67" t="str">
        <f t="shared" ref="N67:N130" si="6">_xlfn.CONCAT(M67,";")</f>
        <v>GVL_J1939.LFC_EngTotalFuelUsed;</v>
      </c>
      <c r="O67" t="str">
        <f t="shared" ref="O67:O130" si="7">_xlfn.CONCAT(L67,":",J67,"; // SPN:",D67)</f>
        <v>LFC_EngTotalFuelUsed:REAL; // SPN:250</v>
      </c>
    </row>
    <row r="68" spans="1:15" x14ac:dyDescent="0.25">
      <c r="A68">
        <v>67</v>
      </c>
      <c r="B68" t="s">
        <v>930</v>
      </c>
      <c r="C68" t="s">
        <v>1058</v>
      </c>
      <c r="D68" s="35">
        <v>108</v>
      </c>
      <c r="E68" t="s">
        <v>682</v>
      </c>
      <c r="J68" t="s">
        <v>984</v>
      </c>
      <c r="L68" t="str">
        <f t="shared" si="4"/>
        <v>AMB_BarometricPress</v>
      </c>
      <c r="M68" t="str">
        <f t="shared" si="5"/>
        <v>GVL_J1939.AMB_BarometricPress</v>
      </c>
      <c r="N68" t="str">
        <f t="shared" si="6"/>
        <v>GVL_J1939.AMB_BarometricPress;</v>
      </c>
      <c r="O68" t="str">
        <f t="shared" si="7"/>
        <v>AMB_BarometricPress:REAL; // SPN:108</v>
      </c>
    </row>
    <row r="69" spans="1:15" hidden="1" x14ac:dyDescent="0.25">
      <c r="A69">
        <v>68</v>
      </c>
      <c r="B69" t="s">
        <v>930</v>
      </c>
      <c r="C69" t="s">
        <v>1059</v>
      </c>
      <c r="D69" s="35">
        <v>170</v>
      </c>
      <c r="J69" t="s">
        <v>984</v>
      </c>
      <c r="L69" t="str">
        <f t="shared" si="4"/>
        <v>AMB_CabInteriorTemp</v>
      </c>
      <c r="M69" t="str">
        <f t="shared" si="5"/>
        <v>GVL_J1939.AMB_CabInteriorTemp</v>
      </c>
      <c r="N69" t="str">
        <f t="shared" si="6"/>
        <v>GVL_J1939.AMB_CabInteriorTemp;</v>
      </c>
      <c r="O69" t="str">
        <f t="shared" si="7"/>
        <v>AMB_CabInteriorTemp:REAL; // SPN:170</v>
      </c>
    </row>
    <row r="70" spans="1:15" x14ac:dyDescent="0.25">
      <c r="A70">
        <v>69</v>
      </c>
      <c r="B70" t="s">
        <v>930</v>
      </c>
      <c r="C70" t="s">
        <v>1060</v>
      </c>
      <c r="D70" s="35">
        <v>171</v>
      </c>
      <c r="E70" t="s">
        <v>682</v>
      </c>
      <c r="J70" t="s">
        <v>984</v>
      </c>
      <c r="L70" t="str">
        <f t="shared" si="4"/>
        <v>AMB_AmbientAirTemp</v>
      </c>
      <c r="M70" t="str">
        <f t="shared" si="5"/>
        <v>GVL_J1939.AMB_AmbientAirTemp</v>
      </c>
      <c r="N70" t="str">
        <f t="shared" si="6"/>
        <v>GVL_J1939.AMB_AmbientAirTemp;</v>
      </c>
      <c r="O70" t="str">
        <f t="shared" si="7"/>
        <v>AMB_AmbientAirTemp:REAL; // SPN:171</v>
      </c>
    </row>
    <row r="71" spans="1:15" x14ac:dyDescent="0.25">
      <c r="A71">
        <v>70</v>
      </c>
      <c r="B71" t="s">
        <v>930</v>
      </c>
      <c r="C71" t="s">
        <v>1061</v>
      </c>
      <c r="D71" s="35">
        <v>172</v>
      </c>
      <c r="E71" t="s">
        <v>682</v>
      </c>
      <c r="J71" t="s">
        <v>985</v>
      </c>
      <c r="L71" t="str">
        <f t="shared" si="4"/>
        <v>AMB_EngAirIntakeTemp</v>
      </c>
      <c r="M71" t="str">
        <f t="shared" si="5"/>
        <v>GVL_J1939.AMB_EngAirIntakeTemp</v>
      </c>
      <c r="N71" t="str">
        <f t="shared" si="6"/>
        <v>GVL_J1939.AMB_EngAirIntakeTemp;</v>
      </c>
      <c r="O71" t="str">
        <f t="shared" si="7"/>
        <v>AMB_EngAirIntakeTemp:INT; // SPN:172</v>
      </c>
    </row>
    <row r="72" spans="1:15" hidden="1" x14ac:dyDescent="0.25">
      <c r="A72">
        <v>71</v>
      </c>
      <c r="B72" t="s">
        <v>930</v>
      </c>
      <c r="C72" t="s">
        <v>1062</v>
      </c>
      <c r="D72" s="35">
        <v>79</v>
      </c>
      <c r="J72" t="s">
        <v>984</v>
      </c>
      <c r="L72" t="str">
        <f t="shared" si="4"/>
        <v>AMB_RoadSurfaceTemp</v>
      </c>
      <c r="M72" t="str">
        <f t="shared" si="5"/>
        <v>GVL_J1939.AMB_RoadSurfaceTemp</v>
      </c>
      <c r="N72" t="str">
        <f t="shared" si="6"/>
        <v>GVL_J1939.AMB_RoadSurfaceTemp;</v>
      </c>
      <c r="O72" t="str">
        <f t="shared" si="7"/>
        <v>AMB_RoadSurfaceTemp:REAL; // SPN:79</v>
      </c>
    </row>
    <row r="73" spans="1:15" hidden="1" x14ac:dyDescent="0.25">
      <c r="A73">
        <v>72</v>
      </c>
      <c r="B73" t="s">
        <v>1070</v>
      </c>
      <c r="C73" t="s">
        <v>1063</v>
      </c>
      <c r="D73" s="35">
        <v>81</v>
      </c>
      <c r="J73" t="s">
        <v>984</v>
      </c>
      <c r="L73" t="str">
        <f t="shared" si="4"/>
        <v>IC1_EngDslPrtclateFilterIntakePress</v>
      </c>
      <c r="M73" t="str">
        <f t="shared" si="5"/>
        <v>GVL_J1939.IC1_EngDslPrtclateFilterIntakePress</v>
      </c>
      <c r="N73" t="str">
        <f t="shared" si="6"/>
        <v>GVL_J1939.IC1_EngDslPrtclateFilterIntakePress;</v>
      </c>
      <c r="O73" t="str">
        <f t="shared" si="7"/>
        <v>IC1_EngDslPrtclateFilterIntakePress:REAL; // SPN:81</v>
      </c>
    </row>
    <row r="74" spans="1:15" x14ac:dyDescent="0.25">
      <c r="A74">
        <v>73</v>
      </c>
      <c r="B74" t="s">
        <v>1070</v>
      </c>
      <c r="C74" t="s">
        <v>1064</v>
      </c>
      <c r="D74" s="35">
        <v>102</v>
      </c>
      <c r="E74" t="s">
        <v>682</v>
      </c>
      <c r="J74" t="s">
        <v>1049</v>
      </c>
      <c r="L74" t="str">
        <f t="shared" si="4"/>
        <v>IC1_EngIntakeManifold1Press</v>
      </c>
      <c r="M74" t="str">
        <f t="shared" si="5"/>
        <v>GVL_J1939.IC1_EngIntakeManifold1Press</v>
      </c>
      <c r="N74" t="str">
        <f t="shared" si="6"/>
        <v>GVL_J1939.IC1_EngIntakeManifold1Press;</v>
      </c>
      <c r="O74" t="str">
        <f t="shared" si="7"/>
        <v>IC1_EngIntakeManifold1Press:UINT; // SPN:102</v>
      </c>
    </row>
    <row r="75" spans="1:15" x14ac:dyDescent="0.25">
      <c r="A75">
        <v>74</v>
      </c>
      <c r="B75" t="s">
        <v>1070</v>
      </c>
      <c r="C75" t="s">
        <v>1065</v>
      </c>
      <c r="D75" s="35">
        <v>105</v>
      </c>
      <c r="E75" t="s">
        <v>682</v>
      </c>
      <c r="J75" t="s">
        <v>985</v>
      </c>
      <c r="L75" t="str">
        <f t="shared" si="4"/>
        <v>IC1_EngIntakeManifold1Temp</v>
      </c>
      <c r="M75" t="str">
        <f t="shared" si="5"/>
        <v>GVL_J1939.IC1_EngIntakeManifold1Temp</v>
      </c>
      <c r="N75" t="str">
        <f t="shared" si="6"/>
        <v>GVL_J1939.IC1_EngIntakeManifold1Temp;</v>
      </c>
      <c r="O75" t="str">
        <f t="shared" si="7"/>
        <v>IC1_EngIntakeManifold1Temp:INT; // SPN:105</v>
      </c>
    </row>
    <row r="76" spans="1:15" x14ac:dyDescent="0.25">
      <c r="A76">
        <v>75</v>
      </c>
      <c r="B76" t="s">
        <v>1070</v>
      </c>
      <c r="C76" t="s">
        <v>1066</v>
      </c>
      <c r="D76" s="35">
        <v>106</v>
      </c>
      <c r="E76" t="s">
        <v>682</v>
      </c>
      <c r="J76" t="s">
        <v>1049</v>
      </c>
      <c r="L76" t="str">
        <f t="shared" si="4"/>
        <v>IC1_EngAirIntakePress</v>
      </c>
      <c r="M76" t="str">
        <f t="shared" si="5"/>
        <v>GVL_J1939.IC1_EngAirIntakePress</v>
      </c>
      <c r="N76" t="str">
        <f t="shared" si="6"/>
        <v>GVL_J1939.IC1_EngAirIntakePress;</v>
      </c>
      <c r="O76" t="str">
        <f t="shared" si="7"/>
        <v>IC1_EngAirIntakePress:UINT; // SPN:106</v>
      </c>
    </row>
    <row r="77" spans="1:15" hidden="1" x14ac:dyDescent="0.25">
      <c r="A77">
        <v>76</v>
      </c>
      <c r="B77" t="s">
        <v>1070</v>
      </c>
      <c r="C77" t="s">
        <v>1067</v>
      </c>
      <c r="D77" s="35">
        <v>107</v>
      </c>
      <c r="J77" t="s">
        <v>984</v>
      </c>
      <c r="L77" t="str">
        <f t="shared" si="4"/>
        <v>IC1_EngAirFilter1DiffPress</v>
      </c>
      <c r="M77" t="str">
        <f t="shared" si="5"/>
        <v>GVL_J1939.IC1_EngAirFilter1DiffPress</v>
      </c>
      <c r="N77" t="str">
        <f t="shared" si="6"/>
        <v>GVL_J1939.IC1_EngAirFilter1DiffPress;</v>
      </c>
      <c r="O77" t="str">
        <f t="shared" si="7"/>
        <v>IC1_EngAirFilter1DiffPress:REAL; // SPN:107</v>
      </c>
    </row>
    <row r="78" spans="1:15" hidden="1" x14ac:dyDescent="0.25">
      <c r="A78">
        <v>77</v>
      </c>
      <c r="B78" t="s">
        <v>1070</v>
      </c>
      <c r="C78" t="s">
        <v>1068</v>
      </c>
      <c r="D78" s="35">
        <v>173</v>
      </c>
      <c r="J78" t="s">
        <v>984</v>
      </c>
      <c r="L78" t="str">
        <f t="shared" si="4"/>
        <v>IC1_EngExhaustGasTemp</v>
      </c>
      <c r="M78" t="str">
        <f t="shared" si="5"/>
        <v>GVL_J1939.IC1_EngExhaustGasTemp</v>
      </c>
      <c r="N78" t="str">
        <f t="shared" si="6"/>
        <v>GVL_J1939.IC1_EngExhaustGasTemp;</v>
      </c>
      <c r="O78" t="str">
        <f t="shared" si="7"/>
        <v>IC1_EngExhaustGasTemp:REAL; // SPN:173</v>
      </c>
    </row>
    <row r="79" spans="1:15" hidden="1" x14ac:dyDescent="0.25">
      <c r="A79">
        <v>78</v>
      </c>
      <c r="B79" t="s">
        <v>1070</v>
      </c>
      <c r="C79" t="s">
        <v>1069</v>
      </c>
      <c r="D79" s="35">
        <v>112</v>
      </c>
      <c r="J79" t="s">
        <v>984</v>
      </c>
      <c r="L79" t="str">
        <f t="shared" si="4"/>
        <v>IC1_EngCoolantFilterDiffPress</v>
      </c>
      <c r="M79" t="str">
        <f t="shared" si="5"/>
        <v>GVL_J1939.IC1_EngCoolantFilterDiffPress</v>
      </c>
      <c r="N79" t="str">
        <f t="shared" si="6"/>
        <v>GVL_J1939.IC1_EngCoolantFilterDiffPress;</v>
      </c>
      <c r="O79" t="str">
        <f t="shared" si="7"/>
        <v>IC1_EngCoolantFilterDiffPress:REAL; // SPN:112</v>
      </c>
    </row>
    <row r="80" spans="1:15" hidden="1" x14ac:dyDescent="0.25">
      <c r="A80">
        <v>79</v>
      </c>
      <c r="B80" t="s">
        <v>928</v>
      </c>
      <c r="C80" t="s">
        <v>1071</v>
      </c>
      <c r="D80" s="35">
        <v>114</v>
      </c>
      <c r="J80" t="s">
        <v>985</v>
      </c>
      <c r="L80" t="str">
        <f t="shared" si="4"/>
        <v>VEP1_NetBatteryCurrent</v>
      </c>
      <c r="M80" t="str">
        <f t="shared" si="5"/>
        <v>GVL_J1939.VEP1_NetBatteryCurrent</v>
      </c>
      <c r="N80" t="str">
        <f t="shared" si="6"/>
        <v>GVL_J1939.VEP1_NetBatteryCurrent;</v>
      </c>
      <c r="O80" t="str">
        <f t="shared" si="7"/>
        <v>VEP1_NetBatteryCurrent:INT; // SPN:114</v>
      </c>
    </row>
    <row r="81" spans="1:15" hidden="1" x14ac:dyDescent="0.25">
      <c r="A81">
        <v>80</v>
      </c>
      <c r="B81" t="s">
        <v>928</v>
      </c>
      <c r="C81" t="s">
        <v>1072</v>
      </c>
      <c r="D81" s="35">
        <v>115</v>
      </c>
      <c r="J81" t="s">
        <v>983</v>
      </c>
      <c r="L81" t="str">
        <f t="shared" si="4"/>
        <v>VEP1_AltCurrent</v>
      </c>
      <c r="M81" t="str">
        <f t="shared" si="5"/>
        <v>GVL_J1939.VEP1_AltCurrent</v>
      </c>
      <c r="N81" t="str">
        <f t="shared" si="6"/>
        <v>GVL_J1939.VEP1_AltCurrent;</v>
      </c>
      <c r="O81" t="str">
        <f t="shared" si="7"/>
        <v>VEP1_AltCurrent:USINT; // SPN:115</v>
      </c>
    </row>
    <row r="82" spans="1:15" hidden="1" x14ac:dyDescent="0.25">
      <c r="A82">
        <v>81</v>
      </c>
      <c r="B82" t="s">
        <v>928</v>
      </c>
      <c r="C82" t="s">
        <v>1073</v>
      </c>
      <c r="D82" s="35">
        <v>167</v>
      </c>
      <c r="J82" t="s">
        <v>1029</v>
      </c>
      <c r="L82" t="str">
        <f t="shared" si="4"/>
        <v>VEP1_ChargingSystemPotential</v>
      </c>
      <c r="M82" t="str">
        <f t="shared" si="5"/>
        <v>GVL_J1939.VEP1_ChargingSystemPotential</v>
      </c>
      <c r="N82" t="str">
        <f t="shared" si="6"/>
        <v>GVL_J1939.VEP1_ChargingSystemPotential;</v>
      </c>
      <c r="O82" t="str">
        <f t="shared" si="7"/>
        <v>VEP1_ChargingSystemPotential:REAl; // SPN:167</v>
      </c>
    </row>
    <row r="83" spans="1:15" x14ac:dyDescent="0.25">
      <c r="A83">
        <v>82</v>
      </c>
      <c r="B83" t="s">
        <v>928</v>
      </c>
      <c r="C83" t="s">
        <v>1074</v>
      </c>
      <c r="D83" s="35">
        <v>168</v>
      </c>
      <c r="E83" t="s">
        <v>682</v>
      </c>
      <c r="J83" t="s">
        <v>984</v>
      </c>
      <c r="L83" t="str">
        <f t="shared" si="4"/>
        <v>VEP1_BatteryPotential_PowerInput1</v>
      </c>
      <c r="M83" t="str">
        <f t="shared" si="5"/>
        <v>GVL_J1939.VEP1_BatteryPotential_PowerInput1</v>
      </c>
      <c r="N83" t="str">
        <f t="shared" si="6"/>
        <v>GVL_J1939.VEP1_BatteryPotential_PowerInput1;</v>
      </c>
      <c r="O83" t="str">
        <f t="shared" si="7"/>
        <v>VEP1_BatteryPotential_PowerInput1:REAL; // SPN:168</v>
      </c>
    </row>
    <row r="84" spans="1:15" x14ac:dyDescent="0.25">
      <c r="A84">
        <v>83</v>
      </c>
      <c r="B84" t="s">
        <v>928</v>
      </c>
      <c r="C84" t="s">
        <v>1075</v>
      </c>
      <c r="D84" s="35">
        <v>158</v>
      </c>
      <c r="E84" t="s">
        <v>682</v>
      </c>
      <c r="J84" t="s">
        <v>984</v>
      </c>
      <c r="L84" t="str">
        <f t="shared" si="4"/>
        <v>VEP1_KeyswitchBatteryPotential</v>
      </c>
      <c r="M84" t="str">
        <f t="shared" si="5"/>
        <v>GVL_J1939.VEP1_KeyswitchBatteryPotential</v>
      </c>
      <c r="N84" t="str">
        <f t="shared" si="6"/>
        <v>GVL_J1939.VEP1_KeyswitchBatteryPotential;</v>
      </c>
      <c r="O84" t="str">
        <f t="shared" si="7"/>
        <v>VEP1_KeyswitchBatteryPotential:REAL; // SPN:158</v>
      </c>
    </row>
    <row r="85" spans="1:15" hidden="1" x14ac:dyDescent="0.25">
      <c r="A85">
        <v>84</v>
      </c>
      <c r="B85" t="s">
        <v>938</v>
      </c>
      <c r="C85" t="s">
        <v>1076</v>
      </c>
      <c r="D85" s="35">
        <v>1380</v>
      </c>
      <c r="J85" t="s">
        <v>984</v>
      </c>
      <c r="L85" t="str">
        <f t="shared" si="4"/>
        <v>EFS_EngOilLevelRemoteReservoir</v>
      </c>
      <c r="M85" t="str">
        <f t="shared" si="5"/>
        <v>GVL_J1939.EFS_EngOilLevelRemoteReservoir</v>
      </c>
      <c r="N85" t="str">
        <f t="shared" si="6"/>
        <v>GVL_J1939.EFS_EngOilLevelRemoteReservoir;</v>
      </c>
      <c r="O85" t="str">
        <f t="shared" si="7"/>
        <v>EFS_EngOilLevelRemoteReservoir:REAL; // SPN:1380</v>
      </c>
    </row>
    <row r="86" spans="1:15" hidden="1" x14ac:dyDescent="0.25">
      <c r="A86">
        <v>85</v>
      </c>
      <c r="B86" t="s">
        <v>938</v>
      </c>
      <c r="C86" t="s">
        <v>1077</v>
      </c>
      <c r="D86" s="35">
        <v>1381</v>
      </c>
      <c r="J86" t="s">
        <v>1049</v>
      </c>
      <c r="L86" t="str">
        <f t="shared" si="4"/>
        <v>EFS_EngFuelSupplyPumpIntakePress</v>
      </c>
      <c r="M86" t="str">
        <f t="shared" si="5"/>
        <v>GVL_J1939.EFS_EngFuelSupplyPumpIntakePress</v>
      </c>
      <c r="N86" t="str">
        <f t="shared" si="6"/>
        <v>GVL_J1939.EFS_EngFuelSupplyPumpIntakePress;</v>
      </c>
      <c r="O86" t="str">
        <f t="shared" si="7"/>
        <v>EFS_EngFuelSupplyPumpIntakePress:UINT; // SPN:1381</v>
      </c>
    </row>
    <row r="87" spans="1:15" hidden="1" x14ac:dyDescent="0.25">
      <c r="A87">
        <v>86</v>
      </c>
      <c r="B87" t="s">
        <v>938</v>
      </c>
      <c r="C87" t="s">
        <v>1078</v>
      </c>
      <c r="D87" s="35">
        <v>1382</v>
      </c>
      <c r="J87" t="s">
        <v>1049</v>
      </c>
      <c r="L87" t="str">
        <f t="shared" si="4"/>
        <v>EFS_EngFuelFilterDiffPress</v>
      </c>
      <c r="M87" t="str">
        <f t="shared" si="5"/>
        <v>GVL_J1939.EFS_EngFuelFilterDiffPress</v>
      </c>
      <c r="N87" t="str">
        <f t="shared" si="6"/>
        <v>GVL_J1939.EFS_EngFuelFilterDiffPress;</v>
      </c>
      <c r="O87" t="str">
        <f t="shared" si="7"/>
        <v>EFS_EngFuelFilterDiffPress:UINT; // SPN:1382</v>
      </c>
    </row>
    <row r="88" spans="1:15" hidden="1" x14ac:dyDescent="0.25">
      <c r="A88">
        <v>87</v>
      </c>
      <c r="B88" t="s">
        <v>938</v>
      </c>
      <c r="C88" t="s">
        <v>1079</v>
      </c>
      <c r="D88" s="35">
        <v>3548</v>
      </c>
      <c r="J88" t="s">
        <v>984</v>
      </c>
      <c r="L88" t="str">
        <f t="shared" si="4"/>
        <v>EFS_EngWasteOilReservoirLevel</v>
      </c>
      <c r="M88" t="str">
        <f t="shared" si="5"/>
        <v>GVL_J1939.EFS_EngWasteOilReservoirLevel</v>
      </c>
      <c r="N88" t="str">
        <f t="shared" si="6"/>
        <v>GVL_J1939.EFS_EngWasteOilReservoirLevel;</v>
      </c>
      <c r="O88" t="str">
        <f t="shared" si="7"/>
        <v>EFS_EngWasteOilReservoirLevel:REAL; // SPN:3548</v>
      </c>
    </row>
    <row r="89" spans="1:15" hidden="1" x14ac:dyDescent="0.25">
      <c r="A89">
        <v>88</v>
      </c>
      <c r="B89" t="s">
        <v>938</v>
      </c>
      <c r="C89" t="s">
        <v>1080</v>
      </c>
      <c r="D89" s="35">
        <v>3549</v>
      </c>
      <c r="J89" t="s">
        <v>1049</v>
      </c>
      <c r="L89" t="str">
        <f t="shared" si="4"/>
        <v>EFS_EngOilFilterOutletPress</v>
      </c>
      <c r="M89" t="str">
        <f t="shared" si="5"/>
        <v>GVL_J1939.EFS_EngOilFilterOutletPress</v>
      </c>
      <c r="N89" t="str">
        <f t="shared" si="6"/>
        <v>GVL_J1939.EFS_EngOilFilterOutletPress;</v>
      </c>
      <c r="O89" t="str">
        <f t="shared" si="7"/>
        <v>EFS_EngOilFilterOutletPress:UINT; // SPN:3549</v>
      </c>
    </row>
    <row r="90" spans="1:15" hidden="1" x14ac:dyDescent="0.25">
      <c r="A90">
        <v>89</v>
      </c>
      <c r="B90" t="s">
        <v>938</v>
      </c>
      <c r="C90" t="s">
        <v>1081</v>
      </c>
      <c r="D90" s="35">
        <v>3550</v>
      </c>
      <c r="J90" t="s">
        <v>983</v>
      </c>
      <c r="L90" t="str">
        <f t="shared" si="4"/>
        <v>EFS_EngOilPrimingPumpSwitch</v>
      </c>
      <c r="M90" t="str">
        <f t="shared" si="5"/>
        <v>GVL_J1939.EFS_EngOilPrimingPumpSwitch</v>
      </c>
      <c r="N90" t="str">
        <f t="shared" si="6"/>
        <v>GVL_J1939.EFS_EngOilPrimingPumpSwitch;</v>
      </c>
      <c r="O90" t="str">
        <f t="shared" si="7"/>
        <v>EFS_EngOilPrimingPumpSwitch:USINT; // SPN:3550</v>
      </c>
    </row>
    <row r="91" spans="1:15" x14ac:dyDescent="0.25">
      <c r="A91">
        <v>90</v>
      </c>
      <c r="B91" t="s">
        <v>938</v>
      </c>
      <c r="C91" t="s">
        <v>1082</v>
      </c>
      <c r="D91" s="35">
        <v>3551</v>
      </c>
      <c r="E91" t="s">
        <v>682</v>
      </c>
      <c r="J91" t="s">
        <v>983</v>
      </c>
      <c r="L91" t="str">
        <f t="shared" si="4"/>
        <v>EFS_EngOilPrimingState</v>
      </c>
      <c r="M91" t="str">
        <f t="shared" si="5"/>
        <v>GVL_J1939.EFS_EngOilPrimingState</v>
      </c>
      <c r="N91" t="str">
        <f t="shared" si="6"/>
        <v>GVL_J1939.EFS_EngOilPrimingState;</v>
      </c>
      <c r="O91" t="str">
        <f t="shared" si="7"/>
        <v>EFS_EngOilPrimingState:USINT; // SPN:3551</v>
      </c>
    </row>
    <row r="92" spans="1:15" hidden="1" x14ac:dyDescent="0.25">
      <c r="A92">
        <v>91</v>
      </c>
      <c r="B92" t="s">
        <v>938</v>
      </c>
      <c r="C92" t="s">
        <v>1083</v>
      </c>
      <c r="D92" s="35">
        <v>3552</v>
      </c>
      <c r="J92" t="s">
        <v>983</v>
      </c>
      <c r="L92" t="str">
        <f t="shared" si="4"/>
        <v>EFS_EngOilPreHeatedState</v>
      </c>
      <c r="M92" t="str">
        <f t="shared" si="5"/>
        <v>GVL_J1939.EFS_EngOilPreHeatedState</v>
      </c>
      <c r="N92" t="str">
        <f t="shared" si="6"/>
        <v>GVL_J1939.EFS_EngOilPreHeatedState;</v>
      </c>
      <c r="O92" t="str">
        <f t="shared" si="7"/>
        <v>EFS_EngOilPreHeatedState:USINT; // SPN:3552</v>
      </c>
    </row>
    <row r="93" spans="1:15" hidden="1" x14ac:dyDescent="0.25">
      <c r="A93">
        <v>92</v>
      </c>
      <c r="B93" t="s">
        <v>938</v>
      </c>
      <c r="C93" t="s">
        <v>1084</v>
      </c>
      <c r="D93" s="35">
        <v>3553</v>
      </c>
      <c r="J93" t="s">
        <v>983</v>
      </c>
      <c r="L93" t="str">
        <f t="shared" si="4"/>
        <v>EFS_EngCoolantPreheatedState</v>
      </c>
      <c r="M93" t="str">
        <f t="shared" si="5"/>
        <v>GVL_J1939.EFS_EngCoolantPreheatedState</v>
      </c>
      <c r="N93" t="str">
        <f t="shared" si="6"/>
        <v>GVL_J1939.EFS_EngCoolantPreheatedState;</v>
      </c>
      <c r="O93" t="str">
        <f t="shared" si="7"/>
        <v>EFS_EngCoolantPreheatedState:USINT; // SPN:3553</v>
      </c>
    </row>
    <row r="94" spans="1:15" hidden="1" x14ac:dyDescent="0.25">
      <c r="A94">
        <v>93</v>
      </c>
      <c r="B94" t="s">
        <v>938</v>
      </c>
      <c r="C94" t="s">
        <v>1085</v>
      </c>
      <c r="D94" s="35">
        <v>3554</v>
      </c>
      <c r="J94" t="s">
        <v>983</v>
      </c>
      <c r="L94" t="str">
        <f t="shared" si="4"/>
        <v>EFS_EngVentilationStatus</v>
      </c>
      <c r="M94" t="str">
        <f t="shared" si="5"/>
        <v>GVL_J1939.EFS_EngVentilationStatus</v>
      </c>
      <c r="N94" t="str">
        <f t="shared" si="6"/>
        <v>GVL_J1939.EFS_EngVentilationStatus;</v>
      </c>
      <c r="O94" t="str">
        <f t="shared" si="7"/>
        <v>EFS_EngVentilationStatus:USINT; // SPN:3554</v>
      </c>
    </row>
    <row r="95" spans="1:15" x14ac:dyDescent="0.25">
      <c r="A95">
        <v>94</v>
      </c>
      <c r="B95" t="s">
        <v>938</v>
      </c>
      <c r="C95" t="s">
        <v>1086</v>
      </c>
      <c r="D95" s="35">
        <v>4083</v>
      </c>
      <c r="E95" t="s">
        <v>682</v>
      </c>
      <c r="J95" t="s">
        <v>983</v>
      </c>
      <c r="L95" t="str">
        <f t="shared" si="4"/>
        <v>EFS_FuelPumpPrimerStatus</v>
      </c>
      <c r="M95" t="str">
        <f t="shared" si="5"/>
        <v>GVL_J1939.EFS_FuelPumpPrimerStatus</v>
      </c>
      <c r="N95" t="str">
        <f t="shared" si="6"/>
        <v>GVL_J1939.EFS_FuelPumpPrimerStatus;</v>
      </c>
      <c r="O95" t="str">
        <f t="shared" si="7"/>
        <v>EFS_FuelPumpPrimerStatus:USINT; // SPN:4083</v>
      </c>
    </row>
    <row r="96" spans="1:15" x14ac:dyDescent="0.25">
      <c r="A96">
        <v>95</v>
      </c>
      <c r="B96" t="s">
        <v>888</v>
      </c>
      <c r="C96" s="33" t="s">
        <v>1087</v>
      </c>
      <c r="D96" s="41">
        <v>3697</v>
      </c>
      <c r="E96" t="s">
        <v>682</v>
      </c>
      <c r="F96" s="26">
        <v>0</v>
      </c>
      <c r="G96" s="26" t="s">
        <v>1168</v>
      </c>
      <c r="H96" s="26">
        <v>0</v>
      </c>
      <c r="I96" s="26" t="str">
        <f>_xlfn.CONCAT(F96+1,",",H96+1)</f>
        <v>1,1</v>
      </c>
      <c r="J96" t="s">
        <v>983</v>
      </c>
      <c r="L96" t="str">
        <f t="shared" si="4"/>
        <v>DPFC1_DieselParticulateFilterLampCmd</v>
      </c>
      <c r="M96" t="str">
        <f t="shared" si="5"/>
        <v>GVL_J1939.DPFC1_DieselParticulateFilterLampCmd</v>
      </c>
      <c r="N96" t="str">
        <f t="shared" si="6"/>
        <v>GVL_J1939.DPFC1_DieselParticulateFilterLampCmd;</v>
      </c>
      <c r="O96" t="str">
        <f t="shared" si="7"/>
        <v>DPFC1_DieselParticulateFilterLampCmd:USINT; // SPN:3697</v>
      </c>
    </row>
    <row r="97" spans="1:15" hidden="1" x14ac:dyDescent="0.25">
      <c r="A97">
        <v>96</v>
      </c>
      <c r="B97" t="s">
        <v>888</v>
      </c>
      <c r="C97" t="s">
        <v>1088</v>
      </c>
      <c r="D97" s="35">
        <v>3699</v>
      </c>
      <c r="F97" s="26">
        <v>1</v>
      </c>
      <c r="G97" s="26" t="s">
        <v>1169</v>
      </c>
      <c r="H97" s="26">
        <v>0</v>
      </c>
      <c r="I97" s="26" t="str">
        <f t="shared" ref="I97:I118" si="8">_xlfn.CONCAT(F97+1,",",H97+1)</f>
        <v>2,1</v>
      </c>
      <c r="J97" t="s">
        <v>983</v>
      </c>
      <c r="L97" t="str">
        <f t="shared" si="4"/>
        <v>DPFC1_DslPrtcltFltrPssvRgnrtionStatus</v>
      </c>
      <c r="M97" t="str">
        <f t="shared" si="5"/>
        <v>GVL_J1939.DPFC1_DslPrtcltFltrPssvRgnrtionStatus</v>
      </c>
      <c r="N97" t="str">
        <f t="shared" si="6"/>
        <v>GVL_J1939.DPFC1_DslPrtcltFltrPssvRgnrtionStatus;</v>
      </c>
      <c r="O97" t="str">
        <f t="shared" si="7"/>
        <v>DPFC1_DslPrtcltFltrPssvRgnrtionStatus:USINT; // SPN:3699</v>
      </c>
    </row>
    <row r="98" spans="1:15" x14ac:dyDescent="0.25">
      <c r="A98">
        <v>97</v>
      </c>
      <c r="B98" t="s">
        <v>888</v>
      </c>
      <c r="C98" s="33" t="s">
        <v>1089</v>
      </c>
      <c r="D98" s="35">
        <v>3700</v>
      </c>
      <c r="E98" t="s">
        <v>682</v>
      </c>
      <c r="F98" s="26">
        <v>1</v>
      </c>
      <c r="G98" s="26" t="s">
        <v>1170</v>
      </c>
      <c r="H98" s="26">
        <v>2</v>
      </c>
      <c r="I98" s="26" t="str">
        <f t="shared" si="8"/>
        <v>2,3</v>
      </c>
      <c r="J98" t="s">
        <v>983</v>
      </c>
      <c r="L98" t="str">
        <f t="shared" si="4"/>
        <v>DPFC1_DslPrtcltFltrActvRgnrtionStatus</v>
      </c>
      <c r="M98" t="str">
        <f t="shared" si="5"/>
        <v>GVL_J1939.DPFC1_DslPrtcltFltrActvRgnrtionStatus</v>
      </c>
      <c r="N98" t="str">
        <f t="shared" si="6"/>
        <v>GVL_J1939.DPFC1_DslPrtcltFltrActvRgnrtionStatus;</v>
      </c>
      <c r="O98" t="str">
        <f t="shared" si="7"/>
        <v>DPFC1_DslPrtcltFltrActvRgnrtionStatus:USINT; // SPN:3700</v>
      </c>
    </row>
    <row r="99" spans="1:15" x14ac:dyDescent="0.25">
      <c r="A99">
        <v>98</v>
      </c>
      <c r="B99" t="s">
        <v>888</v>
      </c>
      <c r="C99" s="33" t="s">
        <v>1090</v>
      </c>
      <c r="D99" s="35">
        <v>3701</v>
      </c>
      <c r="E99" t="s">
        <v>682</v>
      </c>
      <c r="F99" s="26">
        <v>1</v>
      </c>
      <c r="G99" s="26" t="s">
        <v>1171</v>
      </c>
      <c r="H99" s="26">
        <v>4</v>
      </c>
      <c r="I99" s="26" t="str">
        <f t="shared" si="8"/>
        <v>2,5</v>
      </c>
      <c r="J99" t="s">
        <v>983</v>
      </c>
      <c r="L99" t="str">
        <f t="shared" si="4"/>
        <v>DPFC1_DieselParticulateFilterStatus</v>
      </c>
      <c r="M99" t="str">
        <f t="shared" si="5"/>
        <v>GVL_J1939.DPFC1_DieselParticulateFilterStatus</v>
      </c>
      <c r="N99" t="str">
        <f t="shared" si="6"/>
        <v>GVL_J1939.DPFC1_DieselParticulateFilterStatus;</v>
      </c>
      <c r="O99" t="str">
        <f t="shared" si="7"/>
        <v>DPFC1_DieselParticulateFilterStatus:USINT; // SPN:3701</v>
      </c>
    </row>
    <row r="100" spans="1:15" hidden="1" x14ac:dyDescent="0.25">
      <c r="A100">
        <v>99</v>
      </c>
      <c r="B100" t="s">
        <v>888</v>
      </c>
      <c r="C100" t="s">
        <v>1091</v>
      </c>
      <c r="D100" s="35">
        <v>3702</v>
      </c>
      <c r="F100" s="26">
        <v>2</v>
      </c>
      <c r="G100" s="26" t="s">
        <v>1169</v>
      </c>
      <c r="H100" s="26">
        <v>0</v>
      </c>
      <c r="I100" s="26" t="str">
        <f t="shared" si="8"/>
        <v>3,1</v>
      </c>
      <c r="J100" t="s">
        <v>983</v>
      </c>
      <c r="L100" t="str">
        <f t="shared" si="4"/>
        <v>DPFC1_DslPrtcltFltrActvRgnrtnInhbtdStt</v>
      </c>
      <c r="M100" t="str">
        <f t="shared" si="5"/>
        <v>GVL_J1939.DPFC1_DslPrtcltFltrActvRgnrtnInhbtdStt</v>
      </c>
      <c r="N100" t="str">
        <f t="shared" si="6"/>
        <v>GVL_J1939.DPFC1_DslPrtcltFltrActvRgnrtnInhbtdStt;</v>
      </c>
      <c r="O100" t="str">
        <f t="shared" si="7"/>
        <v>DPFC1_DslPrtcltFltrActvRgnrtnInhbtdStt:USINT; // SPN:3702</v>
      </c>
    </row>
    <row r="101" spans="1:15" x14ac:dyDescent="0.25">
      <c r="A101">
        <v>100</v>
      </c>
      <c r="B101" t="s">
        <v>888</v>
      </c>
      <c r="C101" s="33" t="s">
        <v>1092</v>
      </c>
      <c r="D101" s="35">
        <v>3703</v>
      </c>
      <c r="E101" t="s">
        <v>682</v>
      </c>
      <c r="F101" s="26">
        <v>2</v>
      </c>
      <c r="G101" s="26" t="s">
        <v>1170</v>
      </c>
      <c r="H101" s="26">
        <v>2</v>
      </c>
      <c r="I101" s="26" t="str">
        <f t="shared" si="8"/>
        <v>3,3</v>
      </c>
      <c r="J101" t="s">
        <v>983</v>
      </c>
      <c r="L101" t="str">
        <f t="shared" si="4"/>
        <v>DPFC1_DslPrtcltFltrActvRgnrtnInhbtdDTI</v>
      </c>
      <c r="M101" t="str">
        <f t="shared" si="5"/>
        <v>GVL_J1939.DPFC1_DslPrtcltFltrActvRgnrtnInhbtdDTI</v>
      </c>
      <c r="N101" t="str">
        <f t="shared" si="6"/>
        <v>GVL_J1939.DPFC1_DslPrtcltFltrActvRgnrtnInhbtdDTI;</v>
      </c>
      <c r="O101" t="str">
        <f t="shared" si="7"/>
        <v>DPFC1_DslPrtcltFltrActvRgnrtnInhbtdDTI:USINT; // SPN:3703</v>
      </c>
    </row>
    <row r="102" spans="1:15" hidden="1" x14ac:dyDescent="0.25">
      <c r="A102">
        <v>101</v>
      </c>
      <c r="B102" t="s">
        <v>888</v>
      </c>
      <c r="C102" t="s">
        <v>1093</v>
      </c>
      <c r="D102" s="35">
        <v>3704</v>
      </c>
      <c r="F102" s="26">
        <v>2</v>
      </c>
      <c r="G102" s="26" t="s">
        <v>1172</v>
      </c>
      <c r="H102" s="26">
        <v>4</v>
      </c>
      <c r="I102" s="26" t="str">
        <f t="shared" si="8"/>
        <v>3,5</v>
      </c>
      <c r="J102" t="s">
        <v>983</v>
      </c>
      <c r="L102" t="str">
        <f t="shared" si="4"/>
        <v>DPFC1_DslPrtcltFltrActvRgnrtnInhbtdDTC</v>
      </c>
      <c r="M102" t="str">
        <f t="shared" si="5"/>
        <v>GVL_J1939.DPFC1_DslPrtcltFltrActvRgnrtnInhbtdDTC</v>
      </c>
      <c r="N102" t="str">
        <f t="shared" si="6"/>
        <v>GVL_J1939.DPFC1_DslPrtcltFltrActvRgnrtnInhbtdDTC;</v>
      </c>
      <c r="O102" t="str">
        <f t="shared" si="7"/>
        <v>DPFC1_DslPrtcltFltrActvRgnrtnInhbtdDTC:USINT; // SPN:3704</v>
      </c>
    </row>
    <row r="103" spans="1:15" hidden="1" x14ac:dyDescent="0.25">
      <c r="A103">
        <v>102</v>
      </c>
      <c r="B103" t="s">
        <v>888</v>
      </c>
      <c r="C103" t="s">
        <v>1094</v>
      </c>
      <c r="D103" s="35">
        <v>3705</v>
      </c>
      <c r="F103" s="26">
        <v>2</v>
      </c>
      <c r="G103" s="26" t="s">
        <v>1173</v>
      </c>
      <c r="H103" s="26">
        <v>6</v>
      </c>
      <c r="I103" s="26" t="str">
        <f t="shared" si="8"/>
        <v>3,7</v>
      </c>
      <c r="J103" t="s">
        <v>983</v>
      </c>
      <c r="L103" t="str">
        <f t="shared" si="4"/>
        <v>DPFC1_DslPrtcltFltrActvRgnrtnInhb_0004</v>
      </c>
      <c r="M103" t="str">
        <f t="shared" si="5"/>
        <v>GVL_J1939.DPFC1_DslPrtcltFltrActvRgnrtnInhb_0004</v>
      </c>
      <c r="N103" t="str">
        <f t="shared" si="6"/>
        <v>GVL_J1939.DPFC1_DslPrtcltFltrActvRgnrtnInhb_0004;</v>
      </c>
      <c r="O103" t="str">
        <f t="shared" si="7"/>
        <v>DPFC1_DslPrtcltFltrActvRgnrtnInhb_0004:USINT; // SPN:3705</v>
      </c>
    </row>
    <row r="104" spans="1:15" hidden="1" x14ac:dyDescent="0.25">
      <c r="A104">
        <v>103</v>
      </c>
      <c r="B104" t="s">
        <v>888</v>
      </c>
      <c r="C104" t="s">
        <v>1095</v>
      </c>
      <c r="D104" s="35">
        <v>3706</v>
      </c>
      <c r="F104" s="26">
        <v>3</v>
      </c>
      <c r="G104" s="26" t="s">
        <v>1169</v>
      </c>
      <c r="H104" s="26">
        <v>0</v>
      </c>
      <c r="I104" s="26" t="str">
        <f t="shared" si="8"/>
        <v>4,1</v>
      </c>
      <c r="J104" t="s">
        <v>983</v>
      </c>
      <c r="L104" t="str">
        <f t="shared" si="4"/>
        <v>DPFC1_DslPrtcltFltrActvRgnrtnInhb_0003</v>
      </c>
      <c r="M104" t="str">
        <f t="shared" si="5"/>
        <v>GVL_J1939.DPFC1_DslPrtcltFltrActvRgnrtnInhb_0003</v>
      </c>
      <c r="N104" t="str">
        <f t="shared" si="6"/>
        <v>GVL_J1939.DPFC1_DslPrtcltFltrActvRgnrtnInhb_0003;</v>
      </c>
      <c r="O104" t="str">
        <f t="shared" si="7"/>
        <v>DPFC1_DslPrtcltFltrActvRgnrtnInhb_0003:USINT; // SPN:3706</v>
      </c>
    </row>
    <row r="105" spans="1:15" hidden="1" x14ac:dyDescent="0.25">
      <c r="A105">
        <v>104</v>
      </c>
      <c r="B105" t="s">
        <v>888</v>
      </c>
      <c r="C105" t="s">
        <v>1096</v>
      </c>
      <c r="D105" s="35">
        <v>3707</v>
      </c>
      <c r="F105" s="26">
        <v>3</v>
      </c>
      <c r="G105" s="26" t="s">
        <v>1170</v>
      </c>
      <c r="H105" s="26">
        <v>2</v>
      </c>
      <c r="I105" s="26" t="str">
        <f t="shared" si="8"/>
        <v>4,3</v>
      </c>
      <c r="J105" t="s">
        <v>983</v>
      </c>
      <c r="L105" t="str">
        <f t="shared" si="4"/>
        <v>DPFC1_DslPrtcltFltrActvRgnrtnInhbtdDTA</v>
      </c>
      <c r="M105" t="str">
        <f t="shared" si="5"/>
        <v>GVL_J1939.DPFC1_DslPrtcltFltrActvRgnrtnInhbtdDTA</v>
      </c>
      <c r="N105" t="str">
        <f t="shared" si="6"/>
        <v>GVL_J1939.DPFC1_DslPrtcltFltrActvRgnrtnInhbtdDTA;</v>
      </c>
      <c r="O105" t="str">
        <f t="shared" si="7"/>
        <v>DPFC1_DslPrtcltFltrActvRgnrtnInhbtdDTA:USINT; // SPN:3707</v>
      </c>
    </row>
    <row r="106" spans="1:15" hidden="1" x14ac:dyDescent="0.25">
      <c r="A106">
        <v>105</v>
      </c>
      <c r="B106" t="s">
        <v>888</v>
      </c>
      <c r="C106" t="s">
        <v>1097</v>
      </c>
      <c r="D106" s="35">
        <v>3708</v>
      </c>
      <c r="F106" s="26">
        <v>3</v>
      </c>
      <c r="G106" s="26" t="s">
        <v>1172</v>
      </c>
      <c r="H106" s="26">
        <v>4</v>
      </c>
      <c r="I106" s="26" t="str">
        <f t="shared" si="8"/>
        <v>4,5</v>
      </c>
      <c r="J106" t="s">
        <v>983</v>
      </c>
      <c r="L106" t="str">
        <f t="shared" si="4"/>
        <v>DPFC1_DslPrtcltFltrActvRgnrtnInhbtdDTO</v>
      </c>
      <c r="M106" t="str">
        <f t="shared" si="5"/>
        <v>GVL_J1939.DPFC1_DslPrtcltFltrActvRgnrtnInhbtdDTO</v>
      </c>
      <c r="N106" t="str">
        <f t="shared" si="6"/>
        <v>GVL_J1939.DPFC1_DslPrtcltFltrActvRgnrtnInhbtdDTO;</v>
      </c>
      <c r="O106" t="str">
        <f t="shared" si="7"/>
        <v>DPFC1_DslPrtcltFltrActvRgnrtnInhbtdDTO:USINT; // SPN:3708</v>
      </c>
    </row>
    <row r="107" spans="1:15" hidden="1" x14ac:dyDescent="0.25">
      <c r="A107">
        <v>106</v>
      </c>
      <c r="B107" t="s">
        <v>888</v>
      </c>
      <c r="C107" t="s">
        <v>1098</v>
      </c>
      <c r="D107" s="35">
        <v>3709</v>
      </c>
      <c r="F107" s="26">
        <v>3</v>
      </c>
      <c r="G107" s="26" t="s">
        <v>1173</v>
      </c>
      <c r="H107" s="26">
        <v>6</v>
      </c>
      <c r="I107" s="26" t="str">
        <f t="shared" si="8"/>
        <v>4,7</v>
      </c>
      <c r="J107" t="s">
        <v>983</v>
      </c>
      <c r="L107" t="str">
        <f t="shared" si="4"/>
        <v>DPFC1_DslPrtcltFltrActvRgnrtnInhb_0002</v>
      </c>
      <c r="M107" t="str">
        <f t="shared" si="5"/>
        <v>GVL_J1939.DPFC1_DslPrtcltFltrActvRgnrtnInhb_0002</v>
      </c>
      <c r="N107" t="str">
        <f t="shared" si="6"/>
        <v>GVL_J1939.DPFC1_DslPrtcltFltrActvRgnrtnInhb_0002;</v>
      </c>
      <c r="O107" t="str">
        <f t="shared" si="7"/>
        <v>DPFC1_DslPrtcltFltrActvRgnrtnInhb_0002:USINT; // SPN:3709</v>
      </c>
    </row>
    <row r="108" spans="1:15" hidden="1" x14ac:dyDescent="0.25">
      <c r="A108">
        <v>107</v>
      </c>
      <c r="B108" t="s">
        <v>888</v>
      </c>
      <c r="C108" t="s">
        <v>1099</v>
      </c>
      <c r="D108" s="35">
        <v>3710</v>
      </c>
      <c r="F108" s="26">
        <v>4</v>
      </c>
      <c r="G108" s="26" t="s">
        <v>1169</v>
      </c>
      <c r="H108" s="26">
        <v>0</v>
      </c>
      <c r="I108" s="26" t="str">
        <f t="shared" si="8"/>
        <v>5,1</v>
      </c>
      <c r="J108" t="s">
        <v>983</v>
      </c>
      <c r="L108" t="str">
        <f t="shared" si="4"/>
        <v>DPFC1_DslPrtcltFltrActvRgnrtnInhb_0001</v>
      </c>
      <c r="M108" t="str">
        <f t="shared" si="5"/>
        <v>GVL_J1939.DPFC1_DslPrtcltFltrActvRgnrtnInhb_0001</v>
      </c>
      <c r="N108" t="str">
        <f t="shared" si="6"/>
        <v>GVL_J1939.DPFC1_DslPrtcltFltrActvRgnrtnInhb_0001;</v>
      </c>
      <c r="O108" t="str">
        <f t="shared" si="7"/>
        <v>DPFC1_DslPrtcltFltrActvRgnrtnInhb_0001:USINT; // SPN:3710</v>
      </c>
    </row>
    <row r="109" spans="1:15" hidden="1" x14ac:dyDescent="0.25">
      <c r="A109">
        <v>108</v>
      </c>
      <c r="B109" t="s">
        <v>888</v>
      </c>
      <c r="C109" t="s">
        <v>1100</v>
      </c>
      <c r="D109" s="35">
        <v>3711</v>
      </c>
      <c r="F109" s="26">
        <v>4</v>
      </c>
      <c r="G109" s="26" t="s">
        <v>1170</v>
      </c>
      <c r="H109" s="26">
        <v>2</v>
      </c>
      <c r="I109" s="26" t="str">
        <f t="shared" si="8"/>
        <v>5,3</v>
      </c>
      <c r="J109" t="s">
        <v>983</v>
      </c>
      <c r="L109" t="str">
        <f t="shared" si="4"/>
        <v>DPFC1_DslPrtcltFltrActvRgnrtnInhbtdDTL</v>
      </c>
      <c r="M109" t="str">
        <f t="shared" si="5"/>
        <v>GVL_J1939.DPFC1_DslPrtcltFltrActvRgnrtnInhbtdDTL</v>
      </c>
      <c r="N109" t="str">
        <f t="shared" si="6"/>
        <v>GVL_J1939.DPFC1_DslPrtcltFltrActvRgnrtnInhbtdDTL;</v>
      </c>
      <c r="O109" t="str">
        <f t="shared" si="7"/>
        <v>DPFC1_DslPrtcltFltrActvRgnrtnInhbtdDTL:USINT; // SPN:3711</v>
      </c>
    </row>
    <row r="110" spans="1:15" hidden="1" x14ac:dyDescent="0.25">
      <c r="A110">
        <v>109</v>
      </c>
      <c r="B110" t="s">
        <v>888</v>
      </c>
      <c r="C110" t="s">
        <v>1101</v>
      </c>
      <c r="D110" s="35">
        <v>3712</v>
      </c>
      <c r="F110" s="26">
        <v>4</v>
      </c>
      <c r="G110" s="26" t="s">
        <v>1172</v>
      </c>
      <c r="H110" s="26">
        <v>4</v>
      </c>
      <c r="I110" s="26" t="str">
        <f t="shared" si="8"/>
        <v>5,5</v>
      </c>
      <c r="J110" t="s">
        <v>983</v>
      </c>
      <c r="L110" t="str">
        <f t="shared" si="4"/>
        <v>DPFC1_DslPrtcltFltrActvRgnrtnInhb_0000</v>
      </c>
      <c r="M110" t="str">
        <f t="shared" si="5"/>
        <v>GVL_J1939.DPFC1_DslPrtcltFltrActvRgnrtnInhb_0000</v>
      </c>
      <c r="N110" t="str">
        <f t="shared" si="6"/>
        <v>GVL_J1939.DPFC1_DslPrtcltFltrActvRgnrtnInhb_0000;</v>
      </c>
      <c r="O110" t="str">
        <f t="shared" si="7"/>
        <v>DPFC1_DslPrtcltFltrActvRgnrtnInhb_0000:USINT; // SPN:3712</v>
      </c>
    </row>
    <row r="111" spans="1:15" hidden="1" x14ac:dyDescent="0.25">
      <c r="A111">
        <v>110</v>
      </c>
      <c r="B111" t="s">
        <v>888</v>
      </c>
      <c r="C111" t="s">
        <v>1102</v>
      </c>
      <c r="D111" s="35">
        <v>3713</v>
      </c>
      <c r="F111" s="26">
        <v>4</v>
      </c>
      <c r="G111" s="26" t="s">
        <v>1173</v>
      </c>
      <c r="H111" s="26">
        <v>6</v>
      </c>
      <c r="I111" s="26" t="str">
        <f t="shared" si="8"/>
        <v>5,7</v>
      </c>
      <c r="J111" t="s">
        <v>983</v>
      </c>
      <c r="L111" t="str">
        <f t="shared" si="4"/>
        <v>DPFC1_DslPrtcltFltrActvRgnrtnInhbtdDTS</v>
      </c>
      <c r="M111" t="str">
        <f t="shared" si="5"/>
        <v>GVL_J1939.DPFC1_DslPrtcltFltrActvRgnrtnInhbtdDTS</v>
      </c>
      <c r="N111" t="str">
        <f t="shared" si="6"/>
        <v>GVL_J1939.DPFC1_DslPrtcltFltrActvRgnrtnInhbtdDTS;</v>
      </c>
      <c r="O111" t="str">
        <f t="shared" si="7"/>
        <v>DPFC1_DslPrtcltFltrActvRgnrtnInhbtdDTS:USINT; // SPN:3713</v>
      </c>
    </row>
    <row r="112" spans="1:15" x14ac:dyDescent="0.25">
      <c r="A112">
        <v>111</v>
      </c>
      <c r="B112" t="s">
        <v>888</v>
      </c>
      <c r="C112" s="33" t="s">
        <v>1103</v>
      </c>
      <c r="D112" s="35">
        <v>3714</v>
      </c>
      <c r="E112" t="s">
        <v>682</v>
      </c>
      <c r="F112" s="26">
        <v>5</v>
      </c>
      <c r="G112" s="26" t="s">
        <v>1169</v>
      </c>
      <c r="H112" s="26">
        <v>0</v>
      </c>
      <c r="I112" s="26" t="str">
        <f t="shared" si="8"/>
        <v>6,1</v>
      </c>
      <c r="J112" t="s">
        <v>983</v>
      </c>
      <c r="L112" t="str">
        <f t="shared" si="4"/>
        <v>DPFC1_DslPrtcltFltrActvRgnrtnInhbtdDTT</v>
      </c>
      <c r="M112" t="str">
        <f t="shared" si="5"/>
        <v>GVL_J1939.DPFC1_DslPrtcltFltrActvRgnrtnInhbtdDTT</v>
      </c>
      <c r="N112" t="str">
        <f t="shared" si="6"/>
        <v>GVL_J1939.DPFC1_DslPrtcltFltrActvRgnrtnInhbtdDTT;</v>
      </c>
      <c r="O112" t="str">
        <f t="shared" si="7"/>
        <v>DPFC1_DslPrtcltFltrActvRgnrtnInhbtdDTT:USINT; // SPN:3714</v>
      </c>
    </row>
    <row r="113" spans="1:15" x14ac:dyDescent="0.25">
      <c r="A113">
        <v>112</v>
      </c>
      <c r="B113" t="s">
        <v>888</v>
      </c>
      <c r="C113" s="33" t="s">
        <v>1104</v>
      </c>
      <c r="D113" s="35">
        <v>3715</v>
      </c>
      <c r="E113" t="s">
        <v>682</v>
      </c>
      <c r="F113" s="26">
        <v>5</v>
      </c>
      <c r="G113" s="26" t="s">
        <v>1170</v>
      </c>
      <c r="H113" s="26">
        <v>2</v>
      </c>
      <c r="I113" s="26" t="str">
        <f t="shared" si="8"/>
        <v>6,3</v>
      </c>
      <c r="J113" t="s">
        <v>983</v>
      </c>
      <c r="L113" t="str">
        <f t="shared" si="4"/>
        <v>DPFC1_DslPrtcltFltrActvRgnrtnInhbtdDTP</v>
      </c>
      <c r="M113" t="str">
        <f t="shared" si="5"/>
        <v>GVL_J1939.DPFC1_DslPrtcltFltrActvRgnrtnInhbtdDTP</v>
      </c>
      <c r="N113" t="str">
        <f t="shared" si="6"/>
        <v>GVL_J1939.DPFC1_DslPrtcltFltrActvRgnrtnInhbtdDTP;</v>
      </c>
      <c r="O113" t="str">
        <f t="shared" si="7"/>
        <v>DPFC1_DslPrtcltFltrActvRgnrtnInhbtdDTP:USINT; // SPN:3715</v>
      </c>
    </row>
    <row r="114" spans="1:15" hidden="1" x14ac:dyDescent="0.25">
      <c r="A114">
        <v>113</v>
      </c>
      <c r="B114" t="s">
        <v>888</v>
      </c>
      <c r="C114" t="s">
        <v>1105</v>
      </c>
      <c r="D114" s="35">
        <v>3716</v>
      </c>
      <c r="F114" s="26">
        <v>5</v>
      </c>
      <c r="G114" s="26" t="s">
        <v>1172</v>
      </c>
      <c r="H114" s="26">
        <v>4</v>
      </c>
      <c r="I114" s="26" t="str">
        <f t="shared" si="8"/>
        <v>6,5</v>
      </c>
      <c r="J114" t="s">
        <v>983</v>
      </c>
      <c r="L114" t="str">
        <f t="shared" si="4"/>
        <v>DPFC1_DslPrtcltFltrActvRgnrtnInhbtdDTE</v>
      </c>
      <c r="M114" t="str">
        <f t="shared" si="5"/>
        <v>GVL_J1939.DPFC1_DslPrtcltFltrActvRgnrtnInhbtdDTE</v>
      </c>
      <c r="N114" t="str">
        <f t="shared" si="6"/>
        <v>GVL_J1939.DPFC1_DslPrtcltFltrActvRgnrtnInhbtdDTE;</v>
      </c>
      <c r="O114" t="str">
        <f t="shared" si="7"/>
        <v>DPFC1_DslPrtcltFltrActvRgnrtnInhbtdDTE:USINT; // SPN:3716</v>
      </c>
    </row>
    <row r="115" spans="1:15" hidden="1" x14ac:dyDescent="0.25">
      <c r="A115">
        <v>114</v>
      </c>
      <c r="B115" t="s">
        <v>888</v>
      </c>
      <c r="C115" t="s">
        <v>1106</v>
      </c>
      <c r="D115" s="35">
        <v>3717</v>
      </c>
      <c r="F115" s="26">
        <v>5</v>
      </c>
      <c r="G115" s="26" t="s">
        <v>1173</v>
      </c>
      <c r="H115" s="26">
        <v>6</v>
      </c>
      <c r="I115" s="26" t="str">
        <f t="shared" si="8"/>
        <v>6,7</v>
      </c>
      <c r="J115" t="s">
        <v>983</v>
      </c>
      <c r="L115" t="str">
        <f t="shared" si="4"/>
        <v>DPFC1_DslPrtcltFltrActvRgnrtnInhbtdDTV</v>
      </c>
      <c r="M115" t="str">
        <f t="shared" si="5"/>
        <v>GVL_J1939.DPFC1_DslPrtcltFltrActvRgnrtnInhbtdDTV</v>
      </c>
      <c r="N115" t="str">
        <f t="shared" si="6"/>
        <v>GVL_J1939.DPFC1_DslPrtcltFltrActvRgnrtnInhbtdDTV;</v>
      </c>
      <c r="O115" t="str">
        <f t="shared" si="7"/>
        <v>DPFC1_DslPrtcltFltrActvRgnrtnInhbtdDTV:USINT; // SPN:3717</v>
      </c>
    </row>
    <row r="116" spans="1:15" hidden="1" x14ac:dyDescent="0.25">
      <c r="A116">
        <v>115</v>
      </c>
      <c r="B116" t="s">
        <v>888</v>
      </c>
      <c r="C116" t="s">
        <v>1107</v>
      </c>
      <c r="D116" s="35">
        <v>3718</v>
      </c>
      <c r="F116" s="26">
        <v>6</v>
      </c>
      <c r="G116" s="26" t="s">
        <v>1169</v>
      </c>
      <c r="H116" s="26">
        <v>0</v>
      </c>
      <c r="I116" s="26" t="str">
        <f t="shared" si="8"/>
        <v>7,1</v>
      </c>
      <c r="J116" t="s">
        <v>983</v>
      </c>
      <c r="L116" t="str">
        <f t="shared" si="4"/>
        <v>DPFC1_DslPrtcltFltrAtmtcActvRgnrtnIntt</v>
      </c>
      <c r="M116" t="str">
        <f t="shared" si="5"/>
        <v>GVL_J1939.DPFC1_DslPrtcltFltrAtmtcActvRgnrtnIntt</v>
      </c>
      <c r="N116" t="str">
        <f t="shared" si="6"/>
        <v>GVL_J1939.DPFC1_DslPrtcltFltrAtmtcActvRgnrtnIntt;</v>
      </c>
      <c r="O116" t="str">
        <f t="shared" si="7"/>
        <v>DPFC1_DslPrtcltFltrAtmtcActvRgnrtnIntt:USINT; // SPN:3718</v>
      </c>
    </row>
    <row r="117" spans="1:15" hidden="1" x14ac:dyDescent="0.25">
      <c r="A117">
        <v>116</v>
      </c>
      <c r="B117" t="s">
        <v>888</v>
      </c>
      <c r="C117" t="s">
        <v>1108</v>
      </c>
      <c r="D117" s="35">
        <v>3698</v>
      </c>
      <c r="F117" s="26">
        <v>6</v>
      </c>
      <c r="G117" s="26" t="s">
        <v>1174</v>
      </c>
      <c r="H117" s="26">
        <v>2</v>
      </c>
      <c r="I117" s="26" t="str">
        <f t="shared" si="8"/>
        <v>7,3</v>
      </c>
      <c r="J117" t="s">
        <v>983</v>
      </c>
      <c r="L117" t="str">
        <f t="shared" si="4"/>
        <v>DPFC1_ExhaustSystemHighTempLampCmd</v>
      </c>
      <c r="M117" t="str">
        <f t="shared" si="5"/>
        <v>GVL_J1939.DPFC1_ExhaustSystemHighTempLampCmd</v>
      </c>
      <c r="N117" t="str">
        <f t="shared" si="6"/>
        <v>GVL_J1939.DPFC1_ExhaustSystemHighTempLampCmd;</v>
      </c>
      <c r="O117" t="str">
        <f t="shared" si="7"/>
        <v>DPFC1_ExhaustSystemHighTempLampCmd:USINT; // SPN:3698</v>
      </c>
    </row>
    <row r="118" spans="1:15" hidden="1" x14ac:dyDescent="0.25">
      <c r="A118">
        <v>117</v>
      </c>
      <c r="B118" t="s">
        <v>888</v>
      </c>
      <c r="C118" t="s">
        <v>1109</v>
      </c>
      <c r="D118" s="35">
        <v>4175</v>
      </c>
      <c r="F118" s="26">
        <v>6</v>
      </c>
      <c r="G118" s="26" t="s">
        <v>1175</v>
      </c>
      <c r="H118" s="26">
        <v>5</v>
      </c>
      <c r="I118" s="26" t="str">
        <f t="shared" si="8"/>
        <v>7,6</v>
      </c>
      <c r="J118" t="s">
        <v>983</v>
      </c>
      <c r="L118" t="str">
        <f t="shared" si="4"/>
        <v>DPFC1_DslPrtcltFltrActvRgnrtnFrcdStts</v>
      </c>
      <c r="M118" t="str">
        <f t="shared" si="5"/>
        <v>GVL_J1939.DPFC1_DslPrtcltFltrActvRgnrtnFrcdStts</v>
      </c>
      <c r="N118" t="str">
        <f t="shared" si="6"/>
        <v>GVL_J1939.DPFC1_DslPrtcltFltrActvRgnrtnFrcdStts;</v>
      </c>
      <c r="O118" t="str">
        <f t="shared" si="7"/>
        <v>DPFC1_DslPrtcltFltrActvRgnrtnFrcdStts:USINT; // SPN:4175</v>
      </c>
    </row>
    <row r="119" spans="1:15" hidden="1" x14ac:dyDescent="0.25">
      <c r="A119">
        <v>118</v>
      </c>
      <c r="B119" t="s">
        <v>935</v>
      </c>
      <c r="C119" t="s">
        <v>1110</v>
      </c>
      <c r="D119" s="35">
        <v>3241</v>
      </c>
      <c r="J119" t="s">
        <v>984</v>
      </c>
      <c r="L119" t="str">
        <f t="shared" si="4"/>
        <v>AT1IG2_Aftertreatment1ExhaustGasTemp1</v>
      </c>
      <c r="M119" t="str">
        <f t="shared" si="5"/>
        <v>GVL_J1939.AT1IG2_Aftertreatment1ExhaustGasTemp1</v>
      </c>
      <c r="N119" t="str">
        <f t="shared" si="6"/>
        <v>GVL_J1939.AT1IG2_Aftertreatment1ExhaustGasTemp1;</v>
      </c>
      <c r="O119" t="str">
        <f t="shared" si="7"/>
        <v>AT1IG2_Aftertreatment1ExhaustGasTemp1:REAL; // SPN:3241</v>
      </c>
    </row>
    <row r="120" spans="1:15" x14ac:dyDescent="0.25">
      <c r="A120">
        <v>119</v>
      </c>
      <c r="B120" t="s">
        <v>935</v>
      </c>
      <c r="C120" t="s">
        <v>1111</v>
      </c>
      <c r="D120" s="35">
        <v>3242</v>
      </c>
      <c r="E120" t="s">
        <v>682</v>
      </c>
      <c r="J120" t="s">
        <v>984</v>
      </c>
      <c r="L120" t="str">
        <f t="shared" si="4"/>
        <v>AT1IG2_Aftrtrtmnt1DslPrtcltFltrInt_0000</v>
      </c>
      <c r="M120" t="str">
        <f t="shared" si="5"/>
        <v>GVL_J1939.AT1IG2_Aftrtrtmnt1DslPrtcltFltrInt_0000</v>
      </c>
      <c r="N120" t="str">
        <f t="shared" si="6"/>
        <v>GVL_J1939.AT1IG2_Aftrtrtmnt1DslPrtcltFltrInt_0000;</v>
      </c>
      <c r="O120" t="str">
        <f t="shared" si="7"/>
        <v>AT1IG2_Aftrtrtmnt1DslPrtcltFltrInt_0000:REAL; // SPN:3242</v>
      </c>
    </row>
    <row r="121" spans="1:15" hidden="1" x14ac:dyDescent="0.25">
      <c r="A121">
        <v>120</v>
      </c>
      <c r="B121" t="s">
        <v>935</v>
      </c>
      <c r="C121" t="s">
        <v>1112</v>
      </c>
      <c r="D121" s="35">
        <v>3243</v>
      </c>
      <c r="J121" t="s">
        <v>983</v>
      </c>
      <c r="L121" t="str">
        <f t="shared" si="4"/>
        <v>AT1IG2_Aftrtrtmnt1ExhstGsTmp1PrlmnryFMI</v>
      </c>
      <c r="M121" t="str">
        <f t="shared" si="5"/>
        <v>GVL_J1939.AT1IG2_Aftrtrtmnt1ExhstGsTmp1PrlmnryFMI</v>
      </c>
      <c r="N121" t="str">
        <f t="shared" si="6"/>
        <v>GVL_J1939.AT1IG2_Aftrtrtmnt1ExhstGsTmp1PrlmnryFMI;</v>
      </c>
      <c r="O121" t="str">
        <f t="shared" si="7"/>
        <v>AT1IG2_Aftrtrtmnt1ExhstGsTmp1PrlmnryFMI:USINT; // SPN:3243</v>
      </c>
    </row>
    <row r="122" spans="1:15" hidden="1" x14ac:dyDescent="0.25">
      <c r="A122">
        <v>121</v>
      </c>
      <c r="B122" t="s">
        <v>935</v>
      </c>
      <c r="C122" t="s">
        <v>1113</v>
      </c>
      <c r="D122" s="35">
        <v>3244</v>
      </c>
      <c r="J122" t="s">
        <v>983</v>
      </c>
      <c r="L122" t="str">
        <f t="shared" si="4"/>
        <v>AT1IG2_Aftrtrtmnt1DslPrtcltFltrIntkGsTm</v>
      </c>
      <c r="M122" t="str">
        <f t="shared" si="5"/>
        <v>GVL_J1939.AT1IG2_Aftrtrtmnt1DslPrtcltFltrIntkGsTm</v>
      </c>
      <c r="N122" t="str">
        <f t="shared" si="6"/>
        <v>GVL_J1939.AT1IG2_Aftrtrtmnt1DslPrtcltFltrIntkGsTm;</v>
      </c>
      <c r="O122" t="str">
        <f t="shared" si="7"/>
        <v>AT1IG2_Aftrtrtmnt1DslPrtcltFltrIntkGsTm:USINT; // SPN:3244</v>
      </c>
    </row>
    <row r="123" spans="1:15" x14ac:dyDescent="0.25">
      <c r="A123">
        <v>122</v>
      </c>
      <c r="B123" t="s">
        <v>1123</v>
      </c>
      <c r="C123" t="s">
        <v>1114</v>
      </c>
      <c r="D123" s="35">
        <v>1761</v>
      </c>
      <c r="E123" t="s">
        <v>682</v>
      </c>
      <c r="J123" t="s">
        <v>984</v>
      </c>
      <c r="L123" t="str">
        <f t="shared" si="4"/>
        <v>AT1T1I_Aftrtrtmnt1SCRCatalystTankLevel</v>
      </c>
      <c r="M123" t="str">
        <f t="shared" si="5"/>
        <v>GVL_J1939.AT1T1I_Aftrtrtmnt1SCRCatalystTankLevel</v>
      </c>
      <c r="N123" t="str">
        <f t="shared" si="6"/>
        <v>GVL_J1939.AT1T1I_Aftrtrtmnt1SCRCatalystTankLevel;</v>
      </c>
      <c r="O123" t="str">
        <f t="shared" si="7"/>
        <v>AT1T1I_Aftrtrtmnt1SCRCatalystTankLevel:REAL; // SPN:1761</v>
      </c>
    </row>
    <row r="124" spans="1:15" x14ac:dyDescent="0.25">
      <c r="A124">
        <v>123</v>
      </c>
      <c r="B124" t="s">
        <v>1123</v>
      </c>
      <c r="C124" t="s">
        <v>1115</v>
      </c>
      <c r="D124" s="35">
        <v>3031</v>
      </c>
      <c r="E124" t="s">
        <v>682</v>
      </c>
      <c r="J124" t="s">
        <v>985</v>
      </c>
      <c r="L124" t="str">
        <f t="shared" si="4"/>
        <v>AT1T1I_Aftrtrtment1SCRCatalystTankTemp</v>
      </c>
      <c r="M124" t="str">
        <f t="shared" si="5"/>
        <v>GVL_J1939.AT1T1I_Aftrtrtment1SCRCatalystTankTemp</v>
      </c>
      <c r="N124" t="str">
        <f t="shared" si="6"/>
        <v>GVL_J1939.AT1T1I_Aftrtrtment1SCRCatalystTankTemp;</v>
      </c>
      <c r="O124" t="str">
        <f t="shared" si="7"/>
        <v>AT1T1I_Aftrtrtment1SCRCatalystTankTemp:INT; // SPN:3031</v>
      </c>
    </row>
    <row r="125" spans="1:15" hidden="1" x14ac:dyDescent="0.25">
      <c r="A125">
        <v>124</v>
      </c>
      <c r="B125" t="s">
        <v>1123</v>
      </c>
      <c r="C125" t="s">
        <v>1116</v>
      </c>
      <c r="D125" s="35">
        <v>3517</v>
      </c>
      <c r="J125" t="s">
        <v>984</v>
      </c>
      <c r="L125" t="str">
        <f t="shared" si="4"/>
        <v>AT1T1I_Aftrtrtmnt1SCRCtalystTankLevel2</v>
      </c>
      <c r="M125" t="str">
        <f t="shared" si="5"/>
        <v>GVL_J1939.AT1T1I_Aftrtrtmnt1SCRCtalystTankLevel2</v>
      </c>
      <c r="N125" t="str">
        <f t="shared" si="6"/>
        <v>GVL_J1939.AT1T1I_Aftrtrtmnt1SCRCtalystTankLevel2;</v>
      </c>
      <c r="O125" t="str">
        <f t="shared" si="7"/>
        <v>AT1T1I_Aftrtrtmnt1SCRCtalystTankLevel2:REAL; // SPN:3517</v>
      </c>
    </row>
    <row r="126" spans="1:15" hidden="1" x14ac:dyDescent="0.25">
      <c r="A126">
        <v>125</v>
      </c>
      <c r="B126" t="s">
        <v>1123</v>
      </c>
      <c r="C126" t="s">
        <v>1117</v>
      </c>
      <c r="D126" s="35">
        <v>3532</v>
      </c>
      <c r="J126" t="s">
        <v>983</v>
      </c>
      <c r="L126" t="str">
        <f t="shared" si="4"/>
        <v>AT1T1I_Aftrtrtmnt1SCRCtlystTnkLvlPrlmnr</v>
      </c>
      <c r="M126" t="str">
        <f t="shared" si="5"/>
        <v>GVL_J1939.AT1T1I_Aftrtrtmnt1SCRCtlystTnkLvlPrlmnr</v>
      </c>
      <c r="N126" t="str">
        <f t="shared" si="6"/>
        <v>GVL_J1939.AT1T1I_Aftrtrtmnt1SCRCtlystTnkLvlPrlmnr;</v>
      </c>
      <c r="O126" t="str">
        <f t="shared" si="7"/>
        <v>AT1T1I_Aftrtrtmnt1SCRCtlystTnkLvlPrlmnr:USINT; // SPN:3532</v>
      </c>
    </row>
    <row r="127" spans="1:15" x14ac:dyDescent="0.25">
      <c r="A127">
        <v>126</v>
      </c>
      <c r="B127" t="s">
        <v>1123</v>
      </c>
      <c r="C127" t="s">
        <v>1118</v>
      </c>
      <c r="D127" s="35">
        <v>5245</v>
      </c>
      <c r="E127" t="s">
        <v>682</v>
      </c>
      <c r="J127" t="s">
        <v>983</v>
      </c>
      <c r="L127" t="str">
        <f t="shared" si="4"/>
        <v>AT1T1I_Aftrtrtmnt1DEFTnkLwLvlIndicator</v>
      </c>
      <c r="M127" t="str">
        <f t="shared" si="5"/>
        <v>GVL_J1939.AT1T1I_Aftrtrtmnt1DEFTnkLwLvlIndicator</v>
      </c>
      <c r="N127" t="str">
        <f t="shared" si="6"/>
        <v>GVL_J1939.AT1T1I_Aftrtrtmnt1DEFTnkLwLvlIndicator;</v>
      </c>
      <c r="O127" t="str">
        <f t="shared" si="7"/>
        <v>AT1T1I_Aftrtrtmnt1DEFTnkLwLvlIndicator:USINT; // SPN:5245</v>
      </c>
    </row>
    <row r="128" spans="1:15" hidden="1" x14ac:dyDescent="0.25">
      <c r="A128">
        <v>127</v>
      </c>
      <c r="B128" t="s">
        <v>1123</v>
      </c>
      <c r="C128" t="s">
        <v>1119</v>
      </c>
      <c r="D128" s="35">
        <v>4365</v>
      </c>
      <c r="J128" t="s">
        <v>983</v>
      </c>
      <c r="L128" t="str">
        <f t="shared" si="4"/>
        <v>AT1T1I_Aftrtrtmnt1SCRCtlystRgntTnk1TmpP</v>
      </c>
      <c r="M128" t="str">
        <f t="shared" si="5"/>
        <v>GVL_J1939.AT1T1I_Aftrtrtmnt1SCRCtlystRgntTnk1TmpP</v>
      </c>
      <c r="N128" t="str">
        <f t="shared" si="6"/>
        <v>GVL_J1939.AT1T1I_Aftrtrtmnt1SCRCtlystRgntTnk1TmpP;</v>
      </c>
      <c r="O128" t="str">
        <f t="shared" si="7"/>
        <v>AT1T1I_Aftrtrtmnt1SCRCtlystRgntTnk1TmpP:USINT; // SPN:4365</v>
      </c>
    </row>
    <row r="129" spans="1:15" x14ac:dyDescent="0.25">
      <c r="A129">
        <v>128</v>
      </c>
      <c r="B129" t="s">
        <v>1123</v>
      </c>
      <c r="C129" t="s">
        <v>1120</v>
      </c>
      <c r="D129" s="35">
        <v>5246</v>
      </c>
      <c r="E129" t="s">
        <v>682</v>
      </c>
      <c r="J129" t="s">
        <v>983</v>
      </c>
      <c r="L129" t="str">
        <f t="shared" si="4"/>
        <v>AT1T1I_AftrtrtmntSCROprtrIndcmntSvrity</v>
      </c>
      <c r="M129" t="str">
        <f t="shared" si="5"/>
        <v>GVL_J1939.AT1T1I_AftrtrtmntSCROprtrIndcmntSvrity</v>
      </c>
      <c r="N129" t="str">
        <f t="shared" si="6"/>
        <v>GVL_J1939.AT1T1I_AftrtrtmntSCROprtrIndcmntSvrity;</v>
      </c>
      <c r="O129" t="str">
        <f t="shared" si="7"/>
        <v>AT1T1I_AftrtrtmntSCROprtrIndcmntSvrity:USINT; // SPN:5246</v>
      </c>
    </row>
    <row r="130" spans="1:15" hidden="1" x14ac:dyDescent="0.25">
      <c r="A130">
        <v>129</v>
      </c>
      <c r="B130" t="s">
        <v>1123</v>
      </c>
      <c r="C130" t="s">
        <v>1121</v>
      </c>
      <c r="D130" s="35">
        <v>3363</v>
      </c>
      <c r="J130" t="s">
        <v>984</v>
      </c>
      <c r="L130" t="str">
        <f t="shared" si="4"/>
        <v>AT1T1I_Aftrtrtmnt1SCRCtalystTankHeater</v>
      </c>
      <c r="M130" t="str">
        <f t="shared" si="5"/>
        <v>GVL_J1939.AT1T1I_Aftrtrtmnt1SCRCtalystTankHeater</v>
      </c>
      <c r="N130" t="str">
        <f t="shared" si="6"/>
        <v>GVL_J1939.AT1T1I_Aftrtrtmnt1SCRCtalystTankHeater;</v>
      </c>
      <c r="O130" t="str">
        <f t="shared" si="7"/>
        <v>AT1T1I_Aftrtrtmnt1SCRCtalystTankHeater:REAL; // SPN:3363</v>
      </c>
    </row>
    <row r="131" spans="1:15" hidden="1" x14ac:dyDescent="0.25">
      <c r="A131">
        <v>130</v>
      </c>
      <c r="B131" t="s">
        <v>1123</v>
      </c>
      <c r="C131" t="s">
        <v>1122</v>
      </c>
      <c r="D131" s="35">
        <v>4366</v>
      </c>
      <c r="J131" t="s">
        <v>983</v>
      </c>
      <c r="L131" t="str">
        <f t="shared" ref="L131:L171" si="9">IF(C131&lt;&gt;"",_xlfn.CONCAT(B131,"_",C131),"")</f>
        <v>AT1T1I_Aftrtrtmnt1SCRCtlystRgntTnk1HtrP</v>
      </c>
      <c r="M131" t="str">
        <f t="shared" ref="M131:M171" si="10">_xlfn.CONCAT($M$1,L131)</f>
        <v>GVL_J1939.AT1T1I_Aftrtrtmnt1SCRCtlystRgntTnk1HtrP</v>
      </c>
      <c r="N131" t="str">
        <f t="shared" ref="N131:N171" si="11">_xlfn.CONCAT(M131,";")</f>
        <v>GVL_J1939.AT1T1I_Aftrtrtmnt1SCRCtlystRgntTnk1HtrP;</v>
      </c>
      <c r="O131" t="str">
        <f t="shared" ref="O131:O171" si="12">_xlfn.CONCAT(L131,":",J131,"; // SPN:",D131)</f>
        <v>AT1T1I_Aftrtrtmnt1SCRCtlystRgntTnk1HtrP:USINT; // SPN:4366</v>
      </c>
    </row>
    <row r="132" spans="1:15" hidden="1" x14ac:dyDescent="0.25">
      <c r="A132">
        <v>140</v>
      </c>
      <c r="B132" t="s">
        <v>940</v>
      </c>
      <c r="C132" t="s">
        <v>1124</v>
      </c>
      <c r="D132" s="35">
        <v>4331</v>
      </c>
      <c r="J132" t="s">
        <v>984</v>
      </c>
      <c r="L132" t="str">
        <f t="shared" si="9"/>
        <v>A1SCRDSI1_Aftrtrtmnt1SCRActlDsngRgntQntty</v>
      </c>
      <c r="M132" t="str">
        <f t="shared" si="10"/>
        <v>GVL_J1939.A1SCRDSI1_Aftrtrtmnt1SCRActlDsngRgntQntty</v>
      </c>
      <c r="N132" t="str">
        <f t="shared" si="11"/>
        <v>GVL_J1939.A1SCRDSI1_Aftrtrtmnt1SCRActlDsngRgntQntty;</v>
      </c>
      <c r="O132" t="str">
        <f t="shared" si="12"/>
        <v>A1SCRDSI1_Aftrtrtmnt1SCRActlDsngRgntQntty:REAL; // SPN:4331</v>
      </c>
    </row>
    <row r="133" spans="1:15" x14ac:dyDescent="0.25">
      <c r="A133">
        <v>141</v>
      </c>
      <c r="B133" t="s">
        <v>940</v>
      </c>
      <c r="C133" t="s">
        <v>1125</v>
      </c>
      <c r="D133" s="35">
        <v>4332</v>
      </c>
      <c r="E133" t="s">
        <v>682</v>
      </c>
      <c r="J133" t="s">
        <v>983</v>
      </c>
      <c r="L133" t="str">
        <f t="shared" si="9"/>
        <v>A1SCRDSI1_Aftertreatment1SCRSystemState</v>
      </c>
      <c r="M133" t="str">
        <f t="shared" si="10"/>
        <v>GVL_J1939.A1SCRDSI1_Aftertreatment1SCRSystemState</v>
      </c>
      <c r="N133" t="str">
        <f t="shared" si="11"/>
        <v>GVL_J1939.A1SCRDSI1_Aftertreatment1SCRSystemState;</v>
      </c>
      <c r="O133" t="str">
        <f t="shared" si="12"/>
        <v>A1SCRDSI1_Aftertreatment1SCRSystemState:USINT; // SPN:4332</v>
      </c>
    </row>
    <row r="134" spans="1:15" hidden="1" x14ac:dyDescent="0.25">
      <c r="A134">
        <v>142</v>
      </c>
      <c r="B134" t="s">
        <v>940</v>
      </c>
      <c r="C134" t="s">
        <v>1126</v>
      </c>
      <c r="D134" s="35">
        <v>4333</v>
      </c>
      <c r="J134" t="s">
        <v>984</v>
      </c>
      <c r="L134" t="str">
        <f t="shared" si="9"/>
        <v>A1SCRDSI1_Aftrtrtmnt1SCRActlRgntQnttyOfInt</v>
      </c>
      <c r="M134" t="str">
        <f t="shared" si="10"/>
        <v>GVL_J1939.A1SCRDSI1_Aftrtrtmnt1SCRActlRgntQnttyOfInt</v>
      </c>
      <c r="N134" t="str">
        <f t="shared" si="11"/>
        <v>GVL_J1939.A1SCRDSI1_Aftrtrtmnt1SCRActlRgntQnttyOfInt;</v>
      </c>
      <c r="O134" t="str">
        <f t="shared" si="12"/>
        <v>A1SCRDSI1_Aftrtrtmnt1SCRActlRgntQnttyOfInt:REAL; // SPN:4333</v>
      </c>
    </row>
    <row r="135" spans="1:15" hidden="1" x14ac:dyDescent="0.25">
      <c r="A135">
        <v>143</v>
      </c>
      <c r="B135" t="s">
        <v>940</v>
      </c>
      <c r="C135" t="s">
        <v>1127</v>
      </c>
      <c r="D135" s="35">
        <v>4334</v>
      </c>
      <c r="J135" t="s">
        <v>1049</v>
      </c>
      <c r="L135" t="str">
        <f t="shared" si="9"/>
        <v>A1SCRDSI1_Aftrtrtmnt1SCRDsngRgentAbsPress</v>
      </c>
      <c r="M135" t="str">
        <f t="shared" si="10"/>
        <v>GVL_J1939.A1SCRDSI1_Aftrtrtmnt1SCRDsngRgentAbsPress</v>
      </c>
      <c r="N135" t="str">
        <f t="shared" si="11"/>
        <v>GVL_J1939.A1SCRDSI1_Aftrtrtmnt1SCRDsngRgentAbsPress;</v>
      </c>
      <c r="O135" t="str">
        <f t="shared" si="12"/>
        <v>A1SCRDSI1_Aftrtrtmnt1SCRDsngRgentAbsPress:UINT; // SPN:4334</v>
      </c>
    </row>
    <row r="136" spans="1:15" x14ac:dyDescent="0.25">
      <c r="A136">
        <v>144</v>
      </c>
      <c r="B136" t="s">
        <v>1128</v>
      </c>
      <c r="C136" t="s">
        <v>1129</v>
      </c>
      <c r="D136" s="35">
        <v>4360</v>
      </c>
      <c r="E136" t="s">
        <v>682</v>
      </c>
      <c r="J136" t="s">
        <v>984</v>
      </c>
      <c r="L136" t="str">
        <f t="shared" si="9"/>
        <v>A1SCREGT_Aftrtrtmnt1SCRCtlystIntkGasTemp</v>
      </c>
      <c r="M136" t="str">
        <f t="shared" si="10"/>
        <v>GVL_J1939.A1SCREGT_Aftrtrtmnt1SCRCtlystIntkGasTemp</v>
      </c>
      <c r="N136" t="str">
        <f t="shared" si="11"/>
        <v>GVL_J1939.A1SCREGT_Aftrtrtmnt1SCRCtlystIntkGasTemp;</v>
      </c>
      <c r="O136" t="str">
        <f t="shared" si="12"/>
        <v>A1SCREGT_Aftrtrtmnt1SCRCtlystIntkGasTemp:REAL; // SPN:4360</v>
      </c>
    </row>
    <row r="137" spans="1:15" hidden="1" x14ac:dyDescent="0.25">
      <c r="A137">
        <v>145</v>
      </c>
      <c r="B137" t="s">
        <v>1128</v>
      </c>
      <c r="C137" t="s">
        <v>1130</v>
      </c>
      <c r="D137" s="35">
        <v>4361</v>
      </c>
      <c r="J137" t="s">
        <v>983</v>
      </c>
      <c r="L137" t="str">
        <f t="shared" si="9"/>
        <v>A1SCREGT_Aftrtrtmnt1SCRCtlystIntkGsTmpPrl</v>
      </c>
      <c r="M137" t="str">
        <f t="shared" si="10"/>
        <v>GVL_J1939.A1SCREGT_Aftrtrtmnt1SCRCtlystIntkGsTmpPrl</v>
      </c>
      <c r="N137" t="str">
        <f t="shared" si="11"/>
        <v>GVL_J1939.A1SCREGT_Aftrtrtmnt1SCRCtlystIntkGsTmpPrl;</v>
      </c>
      <c r="O137" t="str">
        <f t="shared" si="12"/>
        <v>A1SCREGT_Aftrtrtmnt1SCRCtlystIntkGsTmpPrl:USINT; // SPN:4361</v>
      </c>
    </row>
    <row r="138" spans="1:15" hidden="1" x14ac:dyDescent="0.25">
      <c r="A138">
        <v>146</v>
      </c>
      <c r="B138" t="s">
        <v>1128</v>
      </c>
      <c r="C138" t="s">
        <v>1131</v>
      </c>
      <c r="D138" s="35">
        <v>4363</v>
      </c>
      <c r="J138" t="s">
        <v>984</v>
      </c>
      <c r="L138" t="str">
        <f t="shared" si="9"/>
        <v>A1SCREGT_Aftrtrtmnt1SCRCtlystOtltGasTemp</v>
      </c>
      <c r="M138" t="str">
        <f t="shared" si="10"/>
        <v>GVL_J1939.A1SCREGT_Aftrtrtmnt1SCRCtlystOtltGasTemp</v>
      </c>
      <c r="N138" t="str">
        <f t="shared" si="11"/>
        <v>GVL_J1939.A1SCREGT_Aftrtrtmnt1SCRCtlystOtltGasTemp;</v>
      </c>
      <c r="O138" t="str">
        <f t="shared" si="12"/>
        <v>A1SCREGT_Aftrtrtmnt1SCRCtlystOtltGasTemp:REAL; // SPN:4363</v>
      </c>
    </row>
    <row r="139" spans="1:15" hidden="1" x14ac:dyDescent="0.25">
      <c r="A139">
        <v>147</v>
      </c>
      <c r="B139" t="s">
        <v>1128</v>
      </c>
      <c r="C139" t="s">
        <v>1132</v>
      </c>
      <c r="D139" s="35">
        <v>4362</v>
      </c>
      <c r="J139" t="s">
        <v>983</v>
      </c>
      <c r="L139" t="str">
        <f t="shared" si="9"/>
        <v>A1SCREGT_Aftrtrtmnt1SCRCtlystOtltGsTmpPrl</v>
      </c>
      <c r="M139" t="str">
        <f t="shared" si="10"/>
        <v>GVL_J1939.A1SCREGT_Aftrtrtmnt1SCRCtlystOtltGsTmpPrl</v>
      </c>
      <c r="N139" t="str">
        <f t="shared" si="11"/>
        <v>GVL_J1939.A1SCREGT_Aftrtrtmnt1SCRCtlystOtltGsTmpPrl;</v>
      </c>
      <c r="O139" t="str">
        <f t="shared" si="12"/>
        <v>A1SCREGT_Aftrtrtmnt1SCRCtlystOtltGsTmpPrl:USINT; // SPN:4362</v>
      </c>
    </row>
    <row r="140" spans="1:15" x14ac:dyDescent="0.25">
      <c r="A140">
        <v>148</v>
      </c>
      <c r="B140" t="s">
        <v>950</v>
      </c>
      <c r="C140" t="s">
        <v>1133</v>
      </c>
      <c r="D140" s="35">
        <v>4765</v>
      </c>
      <c r="E140" t="s">
        <v>682</v>
      </c>
      <c r="J140" t="s">
        <v>984</v>
      </c>
      <c r="L140" t="str">
        <f t="shared" si="9"/>
        <v>A1DOC_Aftrtrtmnt1DslOxdtnCtlystIn_0000</v>
      </c>
      <c r="M140" t="str">
        <f t="shared" si="10"/>
        <v>GVL_J1939.A1DOC_Aftrtrtmnt1DslOxdtnCtlystIn_0000</v>
      </c>
      <c r="N140" t="str">
        <f t="shared" si="11"/>
        <v>GVL_J1939.A1DOC_Aftrtrtmnt1DslOxdtnCtlystIn_0000;</v>
      </c>
      <c r="O140" t="str">
        <f t="shared" si="12"/>
        <v>A1DOC_Aftrtrtmnt1DslOxdtnCtlystIn_0000:REAL; // SPN:4765</v>
      </c>
    </row>
    <row r="141" spans="1:15" hidden="1" x14ac:dyDescent="0.25">
      <c r="A141">
        <v>149</v>
      </c>
      <c r="B141" t="s">
        <v>950</v>
      </c>
      <c r="C141" t="s">
        <v>1134</v>
      </c>
      <c r="D141" s="35">
        <v>4766</v>
      </c>
      <c r="J141" t="s">
        <v>984</v>
      </c>
      <c r="L141" t="str">
        <f t="shared" si="9"/>
        <v>A1DOC_Aftrtrtmnt1DslOxdtnCtlystOt_0000</v>
      </c>
      <c r="M141" t="str">
        <f t="shared" si="10"/>
        <v>GVL_J1939.A1DOC_Aftrtrtmnt1DslOxdtnCtlystOt_0000</v>
      </c>
      <c r="N141" t="str">
        <f t="shared" si="11"/>
        <v>GVL_J1939.A1DOC_Aftrtrtmnt1DslOxdtnCtlystOt_0000;</v>
      </c>
      <c r="O141" t="str">
        <f t="shared" si="12"/>
        <v>A1DOC_Aftrtrtmnt1DslOxdtnCtlystOt_0000:REAL; // SPN:4766</v>
      </c>
    </row>
    <row r="142" spans="1:15" hidden="1" x14ac:dyDescent="0.25">
      <c r="A142">
        <v>150</v>
      </c>
      <c r="B142" t="s">
        <v>950</v>
      </c>
      <c r="C142" t="s">
        <v>1135</v>
      </c>
      <c r="D142" s="35">
        <v>4767</v>
      </c>
      <c r="J142" t="s">
        <v>984</v>
      </c>
      <c r="L142" t="str">
        <f t="shared" si="9"/>
        <v>A1DOC_Aftrtrtmnt1DslOxdtnCtlystDffPrss</v>
      </c>
      <c r="M142" t="str">
        <f t="shared" si="10"/>
        <v>GVL_J1939.A1DOC_Aftrtrtmnt1DslOxdtnCtlystDffPrss</v>
      </c>
      <c r="N142" t="str">
        <f t="shared" si="11"/>
        <v>GVL_J1939.A1DOC_Aftrtrtmnt1DslOxdtnCtlystDffPrss;</v>
      </c>
      <c r="O142" t="str">
        <f t="shared" si="12"/>
        <v>A1DOC_Aftrtrtmnt1DslOxdtnCtlystDffPrss:REAL; // SPN:4767</v>
      </c>
    </row>
    <row r="143" spans="1:15" hidden="1" x14ac:dyDescent="0.25">
      <c r="A143">
        <v>151</v>
      </c>
      <c r="B143" t="s">
        <v>950</v>
      </c>
      <c r="C143" t="s">
        <v>1136</v>
      </c>
      <c r="D143" s="35">
        <v>4768</v>
      </c>
      <c r="J143" t="s">
        <v>983</v>
      </c>
      <c r="L143" t="str">
        <f t="shared" si="9"/>
        <v>A1DOC_Aftrtrtmnt1DslOxdtnCtlystIntkGsT</v>
      </c>
      <c r="M143" t="str">
        <f t="shared" si="10"/>
        <v>GVL_J1939.A1DOC_Aftrtrtmnt1DslOxdtnCtlystIntkGsT</v>
      </c>
      <c r="N143" t="str">
        <f t="shared" si="11"/>
        <v>GVL_J1939.A1DOC_Aftrtrtmnt1DslOxdtnCtlystIntkGsT;</v>
      </c>
      <c r="O143" t="str">
        <f t="shared" si="12"/>
        <v>A1DOC_Aftrtrtmnt1DslOxdtnCtlystIntkGsT:USINT; // SPN:4768</v>
      </c>
    </row>
    <row r="144" spans="1:15" hidden="1" x14ac:dyDescent="0.25">
      <c r="A144">
        <v>152</v>
      </c>
      <c r="B144" t="s">
        <v>950</v>
      </c>
      <c r="C144" t="s">
        <v>1137</v>
      </c>
      <c r="D144" s="35">
        <v>4769</v>
      </c>
      <c r="J144" t="s">
        <v>983</v>
      </c>
      <c r="L144" t="str">
        <f t="shared" si="9"/>
        <v>A1DOC_Aftrtrtmnt1DslOxdtnCtlystOtltGsT</v>
      </c>
      <c r="M144" t="str">
        <f t="shared" si="10"/>
        <v>GVL_J1939.A1DOC_Aftrtrtmnt1DslOxdtnCtlystOtltGsT</v>
      </c>
      <c r="N144" t="str">
        <f t="shared" si="11"/>
        <v>GVL_J1939.A1DOC_Aftrtrtmnt1DslOxdtnCtlystOtltGsT;</v>
      </c>
      <c r="O144" t="str">
        <f t="shared" si="12"/>
        <v>A1DOC_Aftrtrtmnt1DslOxdtnCtlystOtltGsT:USINT; // SPN:4769</v>
      </c>
    </row>
    <row r="145" spans="1:15" hidden="1" x14ac:dyDescent="0.25">
      <c r="A145">
        <v>153</v>
      </c>
      <c r="B145" t="s">
        <v>950</v>
      </c>
      <c r="C145" t="s">
        <v>1138</v>
      </c>
      <c r="D145" s="35">
        <v>4770</v>
      </c>
      <c r="J145" t="s">
        <v>983</v>
      </c>
      <c r="L145" t="str">
        <f t="shared" si="9"/>
        <v>A1DOC_Aftrtrtmnt1DslOxdtnCtlystDf_0000</v>
      </c>
      <c r="M145" t="str">
        <f t="shared" si="10"/>
        <v>GVL_J1939.A1DOC_Aftrtrtmnt1DslOxdtnCtlystDf_0000</v>
      </c>
      <c r="N145" t="str">
        <f t="shared" si="11"/>
        <v>GVL_J1939.A1DOC_Aftrtrtmnt1DslOxdtnCtlystDf_0000;</v>
      </c>
      <c r="O145" t="str">
        <f t="shared" si="12"/>
        <v>A1DOC_Aftrtrtmnt1DslOxdtnCtlystDf_0000:USINT; // SPN:4770</v>
      </c>
    </row>
    <row r="146" spans="1:15" x14ac:dyDescent="0.25">
      <c r="A146">
        <v>154</v>
      </c>
      <c r="B146" t="s">
        <v>1139</v>
      </c>
      <c r="C146" t="s">
        <v>1140</v>
      </c>
      <c r="D146" s="35">
        <v>97</v>
      </c>
      <c r="E146" t="s">
        <v>682</v>
      </c>
      <c r="J146" t="s">
        <v>983</v>
      </c>
      <c r="L146" t="str">
        <f t="shared" si="9"/>
        <v>WFI_WaterInFuelIndicator</v>
      </c>
      <c r="M146" t="str">
        <f t="shared" si="10"/>
        <v>GVL_J1939.WFI_WaterInFuelIndicator</v>
      </c>
      <c r="N146" t="str">
        <f t="shared" si="11"/>
        <v>GVL_J1939.WFI_WaterInFuelIndicator;</v>
      </c>
      <c r="O146" t="str">
        <f t="shared" si="12"/>
        <v>WFI_WaterInFuelIndicator:USINT; // SPN:97</v>
      </c>
    </row>
    <row r="147" spans="1:15" hidden="1" x14ac:dyDescent="0.25">
      <c r="A147">
        <v>155</v>
      </c>
      <c r="B147" t="s">
        <v>961</v>
      </c>
      <c r="C147" t="s">
        <v>1141</v>
      </c>
      <c r="D147" s="35">
        <v>5077</v>
      </c>
      <c r="J147" t="s">
        <v>983</v>
      </c>
      <c r="K147">
        <v>1</v>
      </c>
      <c r="L147" t="str">
        <f t="shared" si="9"/>
        <v>DLCC1_EngProtectLampCmd</v>
      </c>
      <c r="M147" t="str">
        <f t="shared" si="10"/>
        <v>GVL_J1939.DLCC1_EngProtectLampCmd</v>
      </c>
      <c r="N147" t="str">
        <f t="shared" si="11"/>
        <v>GVL_J1939.DLCC1_EngProtectLampCmd;</v>
      </c>
      <c r="O147" t="str">
        <f t="shared" si="12"/>
        <v>DLCC1_EngProtectLampCmd:USINT; // SPN:5077</v>
      </c>
    </row>
    <row r="148" spans="1:15" hidden="1" x14ac:dyDescent="0.25">
      <c r="A148">
        <v>156</v>
      </c>
      <c r="B148" t="s">
        <v>961</v>
      </c>
      <c r="C148" t="s">
        <v>1142</v>
      </c>
      <c r="D148" s="35">
        <v>5078</v>
      </c>
      <c r="J148" t="s">
        <v>983</v>
      </c>
      <c r="K148">
        <v>2</v>
      </c>
      <c r="L148" t="str">
        <f t="shared" si="9"/>
        <v>DLCC1_EngAmberWarningLampCmd</v>
      </c>
      <c r="M148" t="str">
        <f t="shared" si="10"/>
        <v>GVL_J1939.DLCC1_EngAmberWarningLampCmd</v>
      </c>
      <c r="N148" t="str">
        <f t="shared" si="11"/>
        <v>GVL_J1939.DLCC1_EngAmberWarningLampCmd;</v>
      </c>
      <c r="O148" t="str">
        <f t="shared" si="12"/>
        <v>DLCC1_EngAmberWarningLampCmd:USINT; // SPN:5078</v>
      </c>
    </row>
    <row r="149" spans="1:15" hidden="1" x14ac:dyDescent="0.25">
      <c r="A149">
        <v>157</v>
      </c>
      <c r="B149" t="s">
        <v>961</v>
      </c>
      <c r="C149" t="s">
        <v>1143</v>
      </c>
      <c r="D149" s="35">
        <v>5079</v>
      </c>
      <c r="J149" t="s">
        <v>983</v>
      </c>
      <c r="K149">
        <v>3</v>
      </c>
      <c r="L149" t="str">
        <f t="shared" si="9"/>
        <v>DLCC1_EngRedStopLampCmd</v>
      </c>
      <c r="M149" t="str">
        <f t="shared" si="10"/>
        <v>GVL_J1939.DLCC1_EngRedStopLampCmd</v>
      </c>
      <c r="N149" t="str">
        <f t="shared" si="11"/>
        <v>GVL_J1939.DLCC1_EngRedStopLampCmd;</v>
      </c>
      <c r="O149" t="str">
        <f t="shared" si="12"/>
        <v>DLCC1_EngRedStopLampCmd:USINT; // SPN:5079</v>
      </c>
    </row>
    <row r="150" spans="1:15" hidden="1" x14ac:dyDescent="0.25">
      <c r="A150">
        <v>158</v>
      </c>
      <c r="B150" t="s">
        <v>961</v>
      </c>
      <c r="C150" t="s">
        <v>1144</v>
      </c>
      <c r="D150" s="35">
        <v>5080</v>
      </c>
      <c r="J150" t="s">
        <v>983</v>
      </c>
      <c r="K150">
        <v>4</v>
      </c>
      <c r="L150" t="str">
        <f t="shared" si="9"/>
        <v>DLCC1_OBDMalfunctionIndicatorLampCmd</v>
      </c>
      <c r="M150" t="str">
        <f t="shared" si="10"/>
        <v>GVL_J1939.DLCC1_OBDMalfunctionIndicatorLampCmd</v>
      </c>
      <c r="N150" t="str">
        <f t="shared" si="11"/>
        <v>GVL_J1939.DLCC1_OBDMalfunctionIndicatorLampCmd;</v>
      </c>
      <c r="O150" t="str">
        <f t="shared" si="12"/>
        <v>DLCC1_OBDMalfunctionIndicatorLampCmd:USINT; // SPN:5080</v>
      </c>
    </row>
    <row r="151" spans="1:15" hidden="1" x14ac:dyDescent="0.25">
      <c r="A151">
        <v>159</v>
      </c>
      <c r="B151" t="s">
        <v>961</v>
      </c>
      <c r="C151" t="s">
        <v>1145</v>
      </c>
      <c r="D151" s="35">
        <v>5081</v>
      </c>
      <c r="J151" t="s">
        <v>983</v>
      </c>
      <c r="K151">
        <v>5</v>
      </c>
      <c r="L151" t="str">
        <f t="shared" si="9"/>
        <v>DLCC1_EngBrakeActiveLampCmd</v>
      </c>
      <c r="M151" t="str">
        <f t="shared" si="10"/>
        <v>GVL_J1939.DLCC1_EngBrakeActiveLampCmd</v>
      </c>
      <c r="N151" t="str">
        <f t="shared" si="11"/>
        <v>GVL_J1939.DLCC1_EngBrakeActiveLampCmd;</v>
      </c>
      <c r="O151" t="str">
        <f t="shared" si="12"/>
        <v>DLCC1_EngBrakeActiveLampCmd:USINT; // SPN:5081</v>
      </c>
    </row>
    <row r="152" spans="1:15" hidden="1" x14ac:dyDescent="0.25">
      <c r="A152">
        <v>160</v>
      </c>
      <c r="B152" t="s">
        <v>961</v>
      </c>
      <c r="C152" t="s">
        <v>1146</v>
      </c>
      <c r="D152" s="35">
        <v>3987</v>
      </c>
      <c r="J152" t="s">
        <v>983</v>
      </c>
      <c r="K152">
        <v>6</v>
      </c>
      <c r="L152" t="str">
        <f t="shared" si="9"/>
        <v>DLCC1_CmprssnBrkEnblSwtchIndctrLmpCmd</v>
      </c>
      <c r="M152" t="str">
        <f t="shared" si="10"/>
        <v>GVL_J1939.DLCC1_CmprssnBrkEnblSwtchIndctrLmpCmd</v>
      </c>
      <c r="N152" t="str">
        <f t="shared" si="11"/>
        <v>GVL_J1939.DLCC1_CmprssnBrkEnblSwtchIndctrLmpCmd;</v>
      </c>
      <c r="O152" t="str">
        <f t="shared" si="12"/>
        <v>DLCC1_CmprssnBrkEnblSwtchIndctrLmpCmd:USINT; // SPN:3987</v>
      </c>
    </row>
    <row r="153" spans="1:15" hidden="1" x14ac:dyDescent="0.25">
      <c r="A153">
        <v>161</v>
      </c>
      <c r="B153" t="s">
        <v>961</v>
      </c>
      <c r="C153" t="s">
        <v>1147</v>
      </c>
      <c r="D153" s="35">
        <v>5082</v>
      </c>
      <c r="J153" t="s">
        <v>983</v>
      </c>
      <c r="K153">
        <v>7</v>
      </c>
      <c r="L153" t="str">
        <f t="shared" si="9"/>
        <v>DLCC1_EngOilPressLowLampCmd</v>
      </c>
      <c r="M153" t="str">
        <f t="shared" si="10"/>
        <v>GVL_J1939.DLCC1_EngOilPressLowLampCmd</v>
      </c>
      <c r="N153" t="str">
        <f t="shared" si="11"/>
        <v>GVL_J1939.DLCC1_EngOilPressLowLampCmd;</v>
      </c>
      <c r="O153" t="str">
        <f t="shared" si="12"/>
        <v>DLCC1_EngOilPressLowLampCmd:USINT; // SPN:5082</v>
      </c>
    </row>
    <row r="154" spans="1:15" hidden="1" x14ac:dyDescent="0.25">
      <c r="A154">
        <v>162</v>
      </c>
      <c r="B154" t="s">
        <v>961</v>
      </c>
      <c r="C154" t="s">
        <v>1148</v>
      </c>
      <c r="D154" s="35">
        <v>5083</v>
      </c>
      <c r="J154" t="s">
        <v>983</v>
      </c>
      <c r="K154">
        <v>8</v>
      </c>
      <c r="L154" t="str">
        <f t="shared" si="9"/>
        <v>DLCC1_EngCoolantTempHighLampCmd</v>
      </c>
      <c r="M154" t="str">
        <f t="shared" si="10"/>
        <v>GVL_J1939.DLCC1_EngCoolantTempHighLampCmd</v>
      </c>
      <c r="N154" t="str">
        <f t="shared" si="11"/>
        <v>GVL_J1939.DLCC1_EngCoolantTempHighLampCmd;</v>
      </c>
      <c r="O154" t="str">
        <f t="shared" si="12"/>
        <v>DLCC1_EngCoolantTempHighLampCmd:USINT; // SPN:5083</v>
      </c>
    </row>
    <row r="155" spans="1:15" hidden="1" x14ac:dyDescent="0.25">
      <c r="A155">
        <v>163</v>
      </c>
      <c r="B155" t="s">
        <v>961</v>
      </c>
      <c r="C155" t="s">
        <v>1149</v>
      </c>
      <c r="D155" s="35">
        <v>5084</v>
      </c>
      <c r="J155" t="s">
        <v>983</v>
      </c>
      <c r="K155">
        <v>9</v>
      </c>
      <c r="L155" t="str">
        <f t="shared" si="9"/>
        <v>DLCC1_EngCoolantLevelLowLampCmd</v>
      </c>
      <c r="M155" t="str">
        <f t="shared" si="10"/>
        <v>GVL_J1939.DLCC1_EngCoolantLevelLowLampCmd</v>
      </c>
      <c r="N155" t="str">
        <f t="shared" si="11"/>
        <v>GVL_J1939.DLCC1_EngCoolantLevelLowLampCmd;</v>
      </c>
      <c r="O155" t="str">
        <f t="shared" si="12"/>
        <v>DLCC1_EngCoolantLevelLowLampCmd:USINT; // SPN:5084</v>
      </c>
    </row>
    <row r="156" spans="1:15" hidden="1" x14ac:dyDescent="0.25">
      <c r="A156">
        <v>164</v>
      </c>
      <c r="B156" t="s">
        <v>961</v>
      </c>
      <c r="C156" t="s">
        <v>1150</v>
      </c>
      <c r="D156" s="35">
        <v>5085</v>
      </c>
      <c r="J156" t="s">
        <v>983</v>
      </c>
      <c r="K156">
        <v>10</v>
      </c>
      <c r="L156" t="str">
        <f t="shared" si="9"/>
        <v>DLCC1_EngIdleManagementActiveLampCmd</v>
      </c>
      <c r="M156" t="str">
        <f t="shared" si="10"/>
        <v>GVL_J1939.DLCC1_EngIdleManagementActiveLampCmd</v>
      </c>
      <c r="N156" t="str">
        <f t="shared" si="11"/>
        <v>GVL_J1939.DLCC1_EngIdleManagementActiveLampCmd;</v>
      </c>
      <c r="O156" t="str">
        <f t="shared" si="12"/>
        <v>DLCC1_EngIdleManagementActiveLampCmd:USINT; // SPN:5085</v>
      </c>
    </row>
    <row r="157" spans="1:15" x14ac:dyDescent="0.25">
      <c r="A157">
        <v>165</v>
      </c>
      <c r="B157" t="s">
        <v>961</v>
      </c>
      <c r="C157" t="s">
        <v>1151</v>
      </c>
      <c r="D157" s="35">
        <v>5086</v>
      </c>
      <c r="E157" t="s">
        <v>682</v>
      </c>
      <c r="J157" t="s">
        <v>983</v>
      </c>
      <c r="K157">
        <v>11</v>
      </c>
      <c r="L157" t="str">
        <f t="shared" si="9"/>
        <v>DLCC1_EngAirFilterRestrictionLampCmd</v>
      </c>
      <c r="M157" t="str">
        <f t="shared" si="10"/>
        <v>GVL_J1939.DLCC1_EngAirFilterRestrictionLampCmd</v>
      </c>
      <c r="N157" t="str">
        <f t="shared" si="11"/>
        <v>GVL_J1939.DLCC1_EngAirFilterRestrictionLampCmd;</v>
      </c>
      <c r="O157" t="str">
        <f t="shared" si="12"/>
        <v>DLCC1_EngAirFilterRestrictionLampCmd:USINT; // SPN:5086</v>
      </c>
    </row>
    <row r="158" spans="1:15" hidden="1" x14ac:dyDescent="0.25">
      <c r="A158">
        <v>166</v>
      </c>
      <c r="B158" t="s">
        <v>961</v>
      </c>
      <c r="C158" t="s">
        <v>1152</v>
      </c>
      <c r="D158" s="35">
        <v>5469</v>
      </c>
      <c r="J158" t="s">
        <v>983</v>
      </c>
      <c r="K158">
        <v>12</v>
      </c>
      <c r="L158" t="str">
        <f t="shared" si="9"/>
        <v>DLCC1_EngFuelFilterRestrictedLampCmd</v>
      </c>
      <c r="M158" t="str">
        <f t="shared" si="10"/>
        <v>GVL_J1939.DLCC1_EngFuelFilterRestrictedLampCmd</v>
      </c>
      <c r="N158" t="str">
        <f t="shared" si="11"/>
        <v>GVL_J1939.DLCC1_EngFuelFilterRestrictedLampCmd;</v>
      </c>
      <c r="O158" t="str">
        <f t="shared" si="12"/>
        <v>DLCC1_EngFuelFilterRestrictedLampCmd:USINT; // SPN:5469</v>
      </c>
    </row>
    <row r="159" spans="1:15" hidden="1" x14ac:dyDescent="0.25">
      <c r="A159">
        <v>167</v>
      </c>
      <c r="B159" t="s">
        <v>1153</v>
      </c>
      <c r="C159" t="s">
        <v>1154</v>
      </c>
      <c r="D159" s="35">
        <v>5093</v>
      </c>
      <c r="J159" t="s">
        <v>983</v>
      </c>
      <c r="K159">
        <v>1</v>
      </c>
      <c r="L159" t="str">
        <f t="shared" si="9"/>
        <v>DLCD1_EngProtectLampData</v>
      </c>
      <c r="M159" t="str">
        <f t="shared" si="10"/>
        <v>GVL_J1939.DLCD1_EngProtectLampData</v>
      </c>
      <c r="N159" t="str">
        <f t="shared" si="11"/>
        <v>GVL_J1939.DLCD1_EngProtectLampData;</v>
      </c>
      <c r="O159" t="str">
        <f t="shared" si="12"/>
        <v>DLCD1_EngProtectLampData:USINT; // SPN:5093</v>
      </c>
    </row>
    <row r="160" spans="1:15" hidden="1" x14ac:dyDescent="0.25">
      <c r="A160">
        <v>168</v>
      </c>
      <c r="B160" t="s">
        <v>1153</v>
      </c>
      <c r="C160" t="s">
        <v>1155</v>
      </c>
      <c r="D160" s="35">
        <v>5094</v>
      </c>
      <c r="J160" t="s">
        <v>983</v>
      </c>
      <c r="K160">
        <v>2</v>
      </c>
      <c r="L160" t="str">
        <f t="shared" si="9"/>
        <v>DLCD1_EngAmberWarningLampData</v>
      </c>
      <c r="M160" t="str">
        <f t="shared" si="10"/>
        <v>GVL_J1939.DLCD1_EngAmberWarningLampData</v>
      </c>
      <c r="N160" t="str">
        <f t="shared" si="11"/>
        <v>GVL_J1939.DLCD1_EngAmberWarningLampData;</v>
      </c>
      <c r="O160" t="str">
        <f t="shared" si="12"/>
        <v>DLCD1_EngAmberWarningLampData:USINT; // SPN:5094</v>
      </c>
    </row>
    <row r="161" spans="1:15" hidden="1" x14ac:dyDescent="0.25">
      <c r="A161">
        <v>169</v>
      </c>
      <c r="B161" t="s">
        <v>1153</v>
      </c>
      <c r="C161" t="s">
        <v>1156</v>
      </c>
      <c r="D161" s="35">
        <v>5095</v>
      </c>
      <c r="J161" t="s">
        <v>983</v>
      </c>
      <c r="K161">
        <v>3</v>
      </c>
      <c r="L161" t="str">
        <f t="shared" si="9"/>
        <v>DLCD1_EngRedStopLampData</v>
      </c>
      <c r="M161" t="str">
        <f t="shared" si="10"/>
        <v>GVL_J1939.DLCD1_EngRedStopLampData</v>
      </c>
      <c r="N161" t="str">
        <f t="shared" si="11"/>
        <v>GVL_J1939.DLCD1_EngRedStopLampData;</v>
      </c>
      <c r="O161" t="str">
        <f t="shared" si="12"/>
        <v>DLCD1_EngRedStopLampData:USINT; // SPN:5095</v>
      </c>
    </row>
    <row r="162" spans="1:15" hidden="1" x14ac:dyDescent="0.25">
      <c r="A162">
        <v>170</v>
      </c>
      <c r="B162" t="s">
        <v>1153</v>
      </c>
      <c r="C162" t="s">
        <v>1157</v>
      </c>
      <c r="D162" s="35">
        <v>5096</v>
      </c>
      <c r="J162" t="s">
        <v>983</v>
      </c>
      <c r="K162">
        <v>4</v>
      </c>
      <c r="L162" t="str">
        <f t="shared" si="9"/>
        <v>DLCD1_OBDMalfunctionIndicatorLampData</v>
      </c>
      <c r="M162" t="str">
        <f t="shared" si="10"/>
        <v>GVL_J1939.DLCD1_OBDMalfunctionIndicatorLampData</v>
      </c>
      <c r="N162" t="str">
        <f t="shared" si="11"/>
        <v>GVL_J1939.DLCD1_OBDMalfunctionIndicatorLampData;</v>
      </c>
      <c r="O162" t="str">
        <f t="shared" si="12"/>
        <v>DLCD1_OBDMalfunctionIndicatorLampData:USINT; // SPN:5096</v>
      </c>
    </row>
    <row r="163" spans="1:15" hidden="1" x14ac:dyDescent="0.25">
      <c r="A163">
        <v>171</v>
      </c>
      <c r="B163" t="s">
        <v>1153</v>
      </c>
      <c r="C163" t="s">
        <v>1158</v>
      </c>
      <c r="D163" s="35">
        <v>5097</v>
      </c>
      <c r="J163" t="s">
        <v>983</v>
      </c>
      <c r="K163">
        <v>5</v>
      </c>
      <c r="L163" t="str">
        <f t="shared" si="9"/>
        <v>DLCD1_EngBrakeActiveLampData</v>
      </c>
      <c r="M163" t="str">
        <f t="shared" si="10"/>
        <v>GVL_J1939.DLCD1_EngBrakeActiveLampData</v>
      </c>
      <c r="N163" t="str">
        <f t="shared" si="11"/>
        <v>GVL_J1939.DLCD1_EngBrakeActiveLampData;</v>
      </c>
      <c r="O163" t="str">
        <f t="shared" si="12"/>
        <v>DLCD1_EngBrakeActiveLampData:USINT; // SPN:5097</v>
      </c>
    </row>
    <row r="164" spans="1:15" hidden="1" x14ac:dyDescent="0.25">
      <c r="A164">
        <v>172</v>
      </c>
      <c r="B164" t="s">
        <v>1153</v>
      </c>
      <c r="C164" t="s">
        <v>1159</v>
      </c>
      <c r="D164" s="35">
        <v>5098</v>
      </c>
      <c r="J164" t="s">
        <v>983</v>
      </c>
      <c r="K164">
        <v>6</v>
      </c>
      <c r="L164" t="str">
        <f t="shared" si="9"/>
        <v>DLCD1_CmprssnBrkEnblSwtchIndctrLmpDta</v>
      </c>
      <c r="M164" t="str">
        <f t="shared" si="10"/>
        <v>GVL_J1939.DLCD1_CmprssnBrkEnblSwtchIndctrLmpDta</v>
      </c>
      <c r="N164" t="str">
        <f t="shared" si="11"/>
        <v>GVL_J1939.DLCD1_CmprssnBrkEnblSwtchIndctrLmpDta;</v>
      </c>
      <c r="O164" t="str">
        <f t="shared" si="12"/>
        <v>DLCD1_CmprssnBrkEnblSwtchIndctrLmpDta:USINT; // SPN:5098</v>
      </c>
    </row>
    <row r="165" spans="1:15" x14ac:dyDescent="0.25">
      <c r="A165">
        <v>173</v>
      </c>
      <c r="B165" t="s">
        <v>1153</v>
      </c>
      <c r="C165" t="s">
        <v>1160</v>
      </c>
      <c r="D165" s="35">
        <v>5099</v>
      </c>
      <c r="E165" t="s">
        <v>682</v>
      </c>
      <c r="J165" t="s">
        <v>983</v>
      </c>
      <c r="K165">
        <v>7</v>
      </c>
      <c r="L165" t="str">
        <f t="shared" si="9"/>
        <v>DLCD1_EngOilPressLowLampData</v>
      </c>
      <c r="M165" t="str">
        <f t="shared" si="10"/>
        <v>GVL_J1939.DLCD1_EngOilPressLowLampData</v>
      </c>
      <c r="N165" t="str">
        <f t="shared" si="11"/>
        <v>GVL_J1939.DLCD1_EngOilPressLowLampData;</v>
      </c>
      <c r="O165" t="str">
        <f t="shared" si="12"/>
        <v>DLCD1_EngOilPressLowLampData:USINT; // SPN:5099</v>
      </c>
    </row>
    <row r="166" spans="1:15" hidden="1" x14ac:dyDescent="0.25">
      <c r="A166">
        <v>174</v>
      </c>
      <c r="B166" t="s">
        <v>1153</v>
      </c>
      <c r="C166" t="s">
        <v>1161</v>
      </c>
      <c r="D166" s="35">
        <v>5100</v>
      </c>
      <c r="J166" t="s">
        <v>983</v>
      </c>
      <c r="K166">
        <v>8</v>
      </c>
      <c r="L166" t="str">
        <f t="shared" si="9"/>
        <v>DLCD1_EngCoolantTempHighLampData</v>
      </c>
      <c r="M166" t="str">
        <f t="shared" si="10"/>
        <v>GVL_J1939.DLCD1_EngCoolantTempHighLampData</v>
      </c>
      <c r="N166" t="str">
        <f t="shared" si="11"/>
        <v>GVL_J1939.DLCD1_EngCoolantTempHighLampData;</v>
      </c>
      <c r="O166" t="str">
        <f t="shared" si="12"/>
        <v>DLCD1_EngCoolantTempHighLampData:USINT; // SPN:5100</v>
      </c>
    </row>
    <row r="167" spans="1:15" x14ac:dyDescent="0.25">
      <c r="A167">
        <v>175</v>
      </c>
      <c r="B167" t="s">
        <v>1153</v>
      </c>
      <c r="C167" t="s">
        <v>1162</v>
      </c>
      <c r="D167" s="35">
        <v>5101</v>
      </c>
      <c r="E167" t="s">
        <v>682</v>
      </c>
      <c r="J167" t="s">
        <v>983</v>
      </c>
      <c r="K167">
        <v>9</v>
      </c>
      <c r="L167" t="str">
        <f t="shared" si="9"/>
        <v>DLCD1_EngCoolantLevelLowLampData</v>
      </c>
      <c r="M167" t="str">
        <f t="shared" si="10"/>
        <v>GVL_J1939.DLCD1_EngCoolantLevelLowLampData</v>
      </c>
      <c r="N167" t="str">
        <f t="shared" si="11"/>
        <v>GVL_J1939.DLCD1_EngCoolantLevelLowLampData;</v>
      </c>
      <c r="O167" t="str">
        <f t="shared" si="12"/>
        <v>DLCD1_EngCoolantLevelLowLampData:USINT; // SPN:5101</v>
      </c>
    </row>
    <row r="168" spans="1:15" hidden="1" x14ac:dyDescent="0.25">
      <c r="A168">
        <v>176</v>
      </c>
      <c r="B168" t="s">
        <v>1153</v>
      </c>
      <c r="C168" t="s">
        <v>1163</v>
      </c>
      <c r="D168" s="35">
        <v>5102</v>
      </c>
      <c r="J168" t="s">
        <v>983</v>
      </c>
      <c r="K168">
        <v>10</v>
      </c>
      <c r="L168" t="str">
        <f t="shared" si="9"/>
        <v>DLCD1_EngIdleManagementActiveLampData</v>
      </c>
      <c r="M168" t="str">
        <f t="shared" si="10"/>
        <v>GVL_J1939.DLCD1_EngIdleManagementActiveLampData</v>
      </c>
      <c r="N168" t="str">
        <f t="shared" si="11"/>
        <v>GVL_J1939.DLCD1_EngIdleManagementActiveLampData;</v>
      </c>
      <c r="O168" t="str">
        <f t="shared" si="12"/>
        <v>DLCD1_EngIdleManagementActiveLampData:USINT; // SPN:5102</v>
      </c>
    </row>
    <row r="169" spans="1:15" hidden="1" x14ac:dyDescent="0.25">
      <c r="A169">
        <v>177</v>
      </c>
      <c r="B169" t="s">
        <v>1153</v>
      </c>
      <c r="C169" t="s">
        <v>1164</v>
      </c>
      <c r="D169" s="35">
        <v>5103</v>
      </c>
      <c r="J169" t="s">
        <v>983</v>
      </c>
      <c r="K169">
        <v>11</v>
      </c>
      <c r="L169" t="str">
        <f t="shared" si="9"/>
        <v>DLCD1_EngAirFilterRestrictionLampData</v>
      </c>
      <c r="M169" t="str">
        <f t="shared" si="10"/>
        <v>GVL_J1939.DLCD1_EngAirFilterRestrictionLampData</v>
      </c>
      <c r="N169" t="str">
        <f t="shared" si="11"/>
        <v>GVL_J1939.DLCD1_EngAirFilterRestrictionLampData;</v>
      </c>
      <c r="O169" t="str">
        <f t="shared" si="12"/>
        <v>DLCD1_EngAirFilterRestrictionLampData:USINT; // SPN:5103</v>
      </c>
    </row>
    <row r="170" spans="1:15" hidden="1" x14ac:dyDescent="0.25">
      <c r="A170">
        <v>178</v>
      </c>
      <c r="B170" t="s">
        <v>1153</v>
      </c>
      <c r="C170" t="s">
        <v>1165</v>
      </c>
      <c r="D170" s="35">
        <v>5470</v>
      </c>
      <c r="J170" t="s">
        <v>983</v>
      </c>
      <c r="K170">
        <v>12</v>
      </c>
      <c r="L170" t="str">
        <f t="shared" si="9"/>
        <v>DLCD1_EngFuelFilterRestrictedLampData</v>
      </c>
      <c r="M170" t="str">
        <f t="shared" si="10"/>
        <v>GVL_J1939.DLCD1_EngFuelFilterRestrictedLampData</v>
      </c>
      <c r="N170" t="str">
        <f t="shared" si="11"/>
        <v>GVL_J1939.DLCD1_EngFuelFilterRestrictedLampData;</v>
      </c>
      <c r="O170" t="str">
        <f t="shared" si="12"/>
        <v>DLCD1_EngFuelFilterRestrictedLampData:USINT; // SPN:5470</v>
      </c>
    </row>
    <row r="171" spans="1:15" hidden="1" x14ac:dyDescent="0.25">
      <c r="A171">
        <v>179</v>
      </c>
      <c r="B171" t="s">
        <v>1153</v>
      </c>
      <c r="C171" t="s">
        <v>1166</v>
      </c>
      <c r="D171" s="35">
        <v>5416</v>
      </c>
      <c r="J171" t="s">
        <v>983</v>
      </c>
      <c r="K171">
        <v>13</v>
      </c>
      <c r="L171" t="str">
        <f t="shared" si="9"/>
        <v>DLCD1_EngWaitToStartLampData</v>
      </c>
      <c r="M171" t="str">
        <f t="shared" si="10"/>
        <v>GVL_J1939.DLCD1_EngWaitToStartLampData</v>
      </c>
      <c r="N171" t="str">
        <f t="shared" si="11"/>
        <v>GVL_J1939.DLCD1_EngWaitToStartLampData;</v>
      </c>
      <c r="O171" t="str">
        <f t="shared" si="12"/>
        <v>DLCD1_EngWaitToStartLampData:USINT; // SPN:5416</v>
      </c>
    </row>
  </sheetData>
  <autoFilter ref="A1:W171" xr:uid="{67835F87-8E16-4012-B1FC-4AA8A57E1B78}">
    <filterColumn colId="4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IO</vt:lpstr>
      <vt:lpstr>Sheet1</vt:lpstr>
      <vt:lpstr>Settings</vt:lpstr>
      <vt:lpstr>IfmPinRef</vt:lpstr>
      <vt:lpstr>ALARMS</vt:lpstr>
      <vt:lpstr>ALARMS_IO</vt:lpstr>
      <vt:lpstr>SNAGS</vt:lpstr>
      <vt:lpstr>DPF Symbol Logic</vt:lpstr>
      <vt:lpstr>  C3.6 PGNs</vt:lpstr>
      <vt:lpstr>C3.6 PGNS -12 doc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2025-03-26T21:32:15Z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