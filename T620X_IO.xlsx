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_plc\MTech\MTech_T620X_Trommel\"/>
    </mc:Choice>
  </mc:AlternateContent>
  <xr:revisionPtr revIDLastSave="0" documentId="13_ncr:1_{C00B3BF4-C8BA-42A6-AD44-D4C6D28929F0}" xr6:coauthVersionLast="47" xr6:coauthVersionMax="47" xr10:uidLastSave="{00000000-0000-0000-0000-000000000000}"/>
  <bookViews>
    <workbookView xWindow="38280" yWindow="5280" windowWidth="29040" windowHeight="15720" tabRatio="857" activeTab="4" xr2:uid="{2FCBBB71-3591-49CF-88C3-9E3184A7626E}"/>
  </bookViews>
  <sheets>
    <sheet name="IO" sheetId="11" r:id="rId1"/>
    <sheet name="Sheet1" sheetId="34" r:id="rId2"/>
    <sheet name="Settings" sheetId="32" r:id="rId3"/>
    <sheet name="IfmPinRef" sheetId="21" r:id="rId4"/>
    <sheet name="SNAGS" sheetId="33" r:id="rId5"/>
    <sheet name="Alarms List" sheetId="38" r:id="rId6"/>
    <sheet name="  C3.6 PGNs" sheetId="35" r:id="rId7"/>
    <sheet name="C3.6 PGNS -12 doc" sheetId="36" r:id="rId8"/>
    <sheet name="DPF Symbol Logic" sheetId="37" r:id="rId9"/>
    <sheet name="SEQ" sheetId="39" r:id="rId10"/>
  </sheets>
  <definedNames>
    <definedName name="_xlnm._FilterDatabase" localSheetId="7" hidden="1">'C3.6 PGNS -12 doc'!$A$1:$X$171</definedName>
    <definedName name="_xlnm._FilterDatabase" localSheetId="0" hidden="1">IO!$A$1:$AP$78</definedName>
    <definedName name="_xlnm._FilterDatabase" localSheetId="4" hidden="1">SNAGS!$A$1:$E$99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1" i="36" l="1"/>
  <c r="P171" i="36" s="1"/>
  <c r="M170" i="36"/>
  <c r="P170" i="36" s="1"/>
  <c r="M169" i="36"/>
  <c r="P169" i="36" s="1"/>
  <c r="M168" i="36"/>
  <c r="P168" i="36" s="1"/>
  <c r="M167" i="36"/>
  <c r="P167" i="36" s="1"/>
  <c r="M166" i="36"/>
  <c r="P166" i="36" s="1"/>
  <c r="M165" i="36"/>
  <c r="P165" i="36" s="1"/>
  <c r="M164" i="36"/>
  <c r="P164" i="36" s="1"/>
  <c r="M163" i="36"/>
  <c r="P163" i="36" s="1"/>
  <c r="M162" i="36"/>
  <c r="P162" i="36" s="1"/>
  <c r="M161" i="36"/>
  <c r="P161" i="36" s="1"/>
  <c r="M160" i="36"/>
  <c r="P160" i="36" s="1"/>
  <c r="M159" i="36"/>
  <c r="P159" i="36" s="1"/>
  <c r="M158" i="36"/>
  <c r="P158" i="36" s="1"/>
  <c r="M157" i="36"/>
  <c r="P157" i="36" s="1"/>
  <c r="M156" i="36"/>
  <c r="P156" i="36" s="1"/>
  <c r="M155" i="36"/>
  <c r="P155" i="36" s="1"/>
  <c r="M154" i="36"/>
  <c r="P154" i="36" s="1"/>
  <c r="M153" i="36"/>
  <c r="P153" i="36" s="1"/>
  <c r="M152" i="36"/>
  <c r="P152" i="36" s="1"/>
  <c r="M151" i="36"/>
  <c r="P151" i="36" s="1"/>
  <c r="M150" i="36"/>
  <c r="P150" i="36" s="1"/>
  <c r="M149" i="36"/>
  <c r="P149" i="36" s="1"/>
  <c r="M148" i="36"/>
  <c r="P148" i="36" s="1"/>
  <c r="M147" i="36"/>
  <c r="P147" i="36" s="1"/>
  <c r="M146" i="36"/>
  <c r="P146" i="36" s="1"/>
  <c r="M145" i="36"/>
  <c r="P145" i="36" s="1"/>
  <c r="M144" i="36"/>
  <c r="P144" i="36" s="1"/>
  <c r="M143" i="36"/>
  <c r="P143" i="36" s="1"/>
  <c r="M142" i="36"/>
  <c r="P142" i="36" s="1"/>
  <c r="M141" i="36"/>
  <c r="P141" i="36" s="1"/>
  <c r="M140" i="36"/>
  <c r="P140" i="36" s="1"/>
  <c r="M139" i="36"/>
  <c r="P139" i="36" s="1"/>
  <c r="M138" i="36"/>
  <c r="P138" i="36" s="1"/>
  <c r="M137" i="36"/>
  <c r="P137" i="36" s="1"/>
  <c r="M136" i="36"/>
  <c r="P136" i="36" s="1"/>
  <c r="M135" i="36"/>
  <c r="P135" i="36" s="1"/>
  <c r="M134" i="36"/>
  <c r="P134" i="36" s="1"/>
  <c r="M133" i="36"/>
  <c r="P133" i="36" s="1"/>
  <c r="M132" i="36"/>
  <c r="P132" i="36" s="1"/>
  <c r="M131" i="36"/>
  <c r="P131" i="36" s="1"/>
  <c r="M130" i="36"/>
  <c r="P130" i="36" s="1"/>
  <c r="M129" i="36"/>
  <c r="P129" i="36" s="1"/>
  <c r="M128" i="36"/>
  <c r="P128" i="36" s="1"/>
  <c r="M127" i="36"/>
  <c r="P127" i="36" s="1"/>
  <c r="M126" i="36"/>
  <c r="P126" i="36" s="1"/>
  <c r="M125" i="36"/>
  <c r="P125" i="36" s="1"/>
  <c r="M124" i="36"/>
  <c r="P124" i="36" s="1"/>
  <c r="M123" i="36"/>
  <c r="P123" i="36" s="1"/>
  <c r="M122" i="36"/>
  <c r="P122" i="36" s="1"/>
  <c r="M121" i="36"/>
  <c r="P121" i="36" s="1"/>
  <c r="M120" i="36"/>
  <c r="P120" i="36" s="1"/>
  <c r="M119" i="36"/>
  <c r="P119" i="36" s="1"/>
  <c r="M118" i="36"/>
  <c r="P118" i="36" s="1"/>
  <c r="M117" i="36"/>
  <c r="P117" i="36" s="1"/>
  <c r="M116" i="36"/>
  <c r="P116" i="36" s="1"/>
  <c r="M115" i="36"/>
  <c r="P115" i="36" s="1"/>
  <c r="M114" i="36"/>
  <c r="P114" i="36" s="1"/>
  <c r="M113" i="36"/>
  <c r="P113" i="36" s="1"/>
  <c r="M112" i="36"/>
  <c r="P112" i="36" s="1"/>
  <c r="M111" i="36"/>
  <c r="P111" i="36" s="1"/>
  <c r="M110" i="36"/>
  <c r="P110" i="36" s="1"/>
  <c r="M109" i="36"/>
  <c r="P109" i="36" s="1"/>
  <c r="M108" i="36"/>
  <c r="P108" i="36" s="1"/>
  <c r="M107" i="36"/>
  <c r="P107" i="36" s="1"/>
  <c r="M106" i="36"/>
  <c r="P106" i="36" s="1"/>
  <c r="M105" i="36"/>
  <c r="P105" i="36" s="1"/>
  <c r="M104" i="36"/>
  <c r="P104" i="36" s="1"/>
  <c r="M103" i="36"/>
  <c r="P103" i="36" s="1"/>
  <c r="M102" i="36"/>
  <c r="P102" i="36" s="1"/>
  <c r="M101" i="36"/>
  <c r="P101" i="36" s="1"/>
  <c r="M100" i="36"/>
  <c r="P100" i="36" s="1"/>
  <c r="M99" i="36"/>
  <c r="P99" i="36" s="1"/>
  <c r="M98" i="36"/>
  <c r="P98" i="36" s="1"/>
  <c r="M97" i="36"/>
  <c r="P97" i="36" s="1"/>
  <c r="M96" i="36"/>
  <c r="P96" i="36" s="1"/>
  <c r="M95" i="36"/>
  <c r="P95" i="36" s="1"/>
  <c r="M94" i="36"/>
  <c r="P94" i="36" s="1"/>
  <c r="M93" i="36"/>
  <c r="P93" i="36" s="1"/>
  <c r="M92" i="36"/>
  <c r="P92" i="36" s="1"/>
  <c r="M91" i="36"/>
  <c r="P91" i="36" s="1"/>
  <c r="M90" i="36"/>
  <c r="P90" i="36" s="1"/>
  <c r="M89" i="36"/>
  <c r="P89" i="36" s="1"/>
  <c r="M88" i="36"/>
  <c r="P88" i="36" s="1"/>
  <c r="M87" i="36"/>
  <c r="P87" i="36" s="1"/>
  <c r="M86" i="36"/>
  <c r="P86" i="36" s="1"/>
  <c r="M85" i="36"/>
  <c r="P85" i="36" s="1"/>
  <c r="M84" i="36"/>
  <c r="P84" i="36" s="1"/>
  <c r="M83" i="36"/>
  <c r="P83" i="36" s="1"/>
  <c r="M82" i="36"/>
  <c r="P82" i="36" s="1"/>
  <c r="M81" i="36"/>
  <c r="P81" i="36" s="1"/>
  <c r="M80" i="36"/>
  <c r="P80" i="36" s="1"/>
  <c r="M79" i="36"/>
  <c r="P79" i="36" s="1"/>
  <c r="M78" i="36"/>
  <c r="P78" i="36" s="1"/>
  <c r="M77" i="36"/>
  <c r="P77" i="36" s="1"/>
  <c r="M76" i="36"/>
  <c r="P76" i="36" s="1"/>
  <c r="M75" i="36"/>
  <c r="P75" i="36" s="1"/>
  <c r="M74" i="36"/>
  <c r="P74" i="36" s="1"/>
  <c r="M73" i="36"/>
  <c r="P73" i="36" s="1"/>
  <c r="M72" i="36"/>
  <c r="P72" i="36" s="1"/>
  <c r="M71" i="36"/>
  <c r="P71" i="36" s="1"/>
  <c r="M70" i="36"/>
  <c r="P70" i="36" s="1"/>
  <c r="M69" i="36"/>
  <c r="P69" i="36" s="1"/>
  <c r="M68" i="36"/>
  <c r="P68" i="36" s="1"/>
  <c r="M67" i="36"/>
  <c r="P67" i="36" s="1"/>
  <c r="M66" i="36"/>
  <c r="P66" i="36" s="1"/>
  <c r="M65" i="36"/>
  <c r="P65" i="36" s="1"/>
  <c r="M64" i="36"/>
  <c r="P64" i="36" s="1"/>
  <c r="M63" i="36"/>
  <c r="P63" i="36" s="1"/>
  <c r="M62" i="36"/>
  <c r="P62" i="36" s="1"/>
  <c r="M61" i="36"/>
  <c r="P61" i="36" s="1"/>
  <c r="M60" i="36"/>
  <c r="P60" i="36" s="1"/>
  <c r="M59" i="36"/>
  <c r="P59" i="36" s="1"/>
  <c r="M58" i="36"/>
  <c r="P58" i="36" s="1"/>
  <c r="M57" i="36"/>
  <c r="P57" i="36" s="1"/>
  <c r="M56" i="36"/>
  <c r="P56" i="36" s="1"/>
  <c r="M55" i="36"/>
  <c r="P55" i="36" s="1"/>
  <c r="M54" i="36"/>
  <c r="P54" i="36" s="1"/>
  <c r="M53" i="36"/>
  <c r="P53" i="36" s="1"/>
  <c r="M52" i="36"/>
  <c r="P52" i="36" s="1"/>
  <c r="M51" i="36"/>
  <c r="P51" i="36" s="1"/>
  <c r="M50" i="36"/>
  <c r="P50" i="36" s="1"/>
  <c r="M49" i="36"/>
  <c r="P49" i="36" s="1"/>
  <c r="M48" i="36"/>
  <c r="P48" i="36" s="1"/>
  <c r="M47" i="36"/>
  <c r="P47" i="36" s="1"/>
  <c r="M46" i="36"/>
  <c r="P46" i="36" s="1"/>
  <c r="M45" i="36"/>
  <c r="P45" i="36" s="1"/>
  <c r="M44" i="36"/>
  <c r="P44" i="36" s="1"/>
  <c r="M43" i="36"/>
  <c r="P43" i="36" s="1"/>
  <c r="M42" i="36"/>
  <c r="P42" i="36" s="1"/>
  <c r="M41" i="36"/>
  <c r="P41" i="36" s="1"/>
  <c r="M40" i="36"/>
  <c r="P40" i="36" s="1"/>
  <c r="M39" i="36"/>
  <c r="P39" i="36" s="1"/>
  <c r="M38" i="36"/>
  <c r="P38" i="36" s="1"/>
  <c r="M37" i="36"/>
  <c r="P37" i="36" s="1"/>
  <c r="M36" i="36"/>
  <c r="P36" i="36" s="1"/>
  <c r="M35" i="36"/>
  <c r="P35" i="36" s="1"/>
  <c r="M34" i="36"/>
  <c r="P34" i="36" s="1"/>
  <c r="M33" i="36"/>
  <c r="P33" i="36" s="1"/>
  <c r="M32" i="36"/>
  <c r="P32" i="36" s="1"/>
  <c r="M31" i="36"/>
  <c r="P31" i="36" s="1"/>
  <c r="M30" i="36"/>
  <c r="P30" i="36" s="1"/>
  <c r="M29" i="36"/>
  <c r="P29" i="36" s="1"/>
  <c r="M28" i="36"/>
  <c r="P28" i="36" s="1"/>
  <c r="M27" i="36"/>
  <c r="P27" i="36" s="1"/>
  <c r="M26" i="36"/>
  <c r="P26" i="36" s="1"/>
  <c r="M25" i="36"/>
  <c r="P25" i="36" s="1"/>
  <c r="M24" i="36"/>
  <c r="P24" i="36" s="1"/>
  <c r="M23" i="36"/>
  <c r="P23" i="36" s="1"/>
  <c r="M22" i="36"/>
  <c r="P22" i="36" s="1"/>
  <c r="M21" i="36"/>
  <c r="P21" i="36" s="1"/>
  <c r="M20" i="36"/>
  <c r="P20" i="36" s="1"/>
  <c r="M19" i="36"/>
  <c r="P19" i="36" s="1"/>
  <c r="M18" i="36"/>
  <c r="P18" i="36" s="1"/>
  <c r="M17" i="36"/>
  <c r="P17" i="36" s="1"/>
  <c r="M16" i="36"/>
  <c r="P16" i="36" s="1"/>
  <c r="M15" i="36"/>
  <c r="P15" i="36" s="1"/>
  <c r="M14" i="36"/>
  <c r="P14" i="36" s="1"/>
  <c r="M13" i="36"/>
  <c r="P13" i="36" s="1"/>
  <c r="M12" i="36"/>
  <c r="P12" i="36" s="1"/>
  <c r="M11" i="36"/>
  <c r="P11" i="36" s="1"/>
  <c r="M10" i="36"/>
  <c r="P10" i="36" s="1"/>
  <c r="M9" i="36"/>
  <c r="P9" i="36" s="1"/>
  <c r="M8" i="36"/>
  <c r="P8" i="36" s="1"/>
  <c r="M7" i="36"/>
  <c r="P7" i="36" s="1"/>
  <c r="M6" i="36"/>
  <c r="P6" i="36" s="1"/>
  <c r="M5" i="36"/>
  <c r="P5" i="36" s="1"/>
  <c r="M4" i="36"/>
  <c r="P4" i="36" s="1"/>
  <c r="M3" i="36"/>
  <c r="P3" i="36" s="1"/>
  <c r="M2" i="36"/>
  <c r="P2" i="36" s="1"/>
  <c r="J118" i="36"/>
  <c r="J117" i="36"/>
  <c r="J116" i="36"/>
  <c r="J115" i="36"/>
  <c r="J114" i="36"/>
  <c r="J113" i="36"/>
  <c r="J112" i="36"/>
  <c r="J111" i="36"/>
  <c r="J110" i="36"/>
  <c r="J109" i="36"/>
  <c r="J108" i="36"/>
  <c r="J107" i="36"/>
  <c r="J106" i="36"/>
  <c r="J105" i="36"/>
  <c r="J104" i="36"/>
  <c r="J103" i="36"/>
  <c r="J102" i="36"/>
  <c r="J101" i="36"/>
  <c r="J100" i="36"/>
  <c r="J99" i="36"/>
  <c r="J98" i="36"/>
  <c r="J97" i="36"/>
  <c r="J96" i="36"/>
  <c r="D38" i="35"/>
  <c r="D37" i="35"/>
  <c r="D35" i="35"/>
  <c r="D34" i="35"/>
  <c r="D3" i="35"/>
  <c r="D33" i="35"/>
  <c r="D31" i="35"/>
  <c r="D16" i="35"/>
  <c r="D30" i="35"/>
  <c r="D29" i="35"/>
  <c r="D28" i="35"/>
  <c r="D27" i="35"/>
  <c r="D5" i="35"/>
  <c r="N57" i="36" l="1"/>
  <c r="O57" i="36" s="1"/>
  <c r="N60" i="36"/>
  <c r="O60" i="36" s="1"/>
  <c r="N76" i="36"/>
  <c r="O76" i="36" s="1"/>
  <c r="N77" i="36"/>
  <c r="O77" i="36" s="1"/>
  <c r="N100" i="36"/>
  <c r="O100" i="36" s="1"/>
  <c r="N101" i="36"/>
  <c r="O101" i="36" s="1"/>
  <c r="N102" i="36"/>
  <c r="O102" i="36" s="1"/>
  <c r="N103" i="36"/>
  <c r="O103" i="36" s="1"/>
  <c r="N104" i="36"/>
  <c r="O104" i="36" s="1"/>
  <c r="N105" i="36"/>
  <c r="O105" i="36" s="1"/>
  <c r="N151" i="36"/>
  <c r="O151" i="36" s="1"/>
  <c r="N152" i="36"/>
  <c r="O152" i="36" s="1"/>
  <c r="N58" i="36"/>
  <c r="O58" i="36" s="1"/>
  <c r="N106" i="36"/>
  <c r="O106" i="36" s="1"/>
  <c r="N107" i="36"/>
  <c r="O107" i="36" s="1"/>
  <c r="N108" i="36"/>
  <c r="O108" i="36" s="1"/>
  <c r="N59" i="36"/>
  <c r="O59" i="36" s="1"/>
  <c r="N132" i="36"/>
  <c r="O132" i="36" s="1"/>
  <c r="N148" i="36"/>
  <c r="O148" i="36" s="1"/>
  <c r="N149" i="36"/>
  <c r="O149" i="36" s="1"/>
  <c r="N17" i="36"/>
  <c r="O17" i="36" s="1"/>
  <c r="N150" i="36"/>
  <c r="O150" i="36" s="1"/>
  <c r="N28" i="36"/>
  <c r="O28" i="36" s="1"/>
  <c r="N29" i="36"/>
  <c r="O29" i="36" s="1"/>
  <c r="N30" i="36"/>
  <c r="O30" i="36" s="1"/>
  <c r="N154" i="36"/>
  <c r="O154" i="36" s="1"/>
  <c r="N31" i="36"/>
  <c r="O31" i="36" s="1"/>
  <c r="N155" i="36"/>
  <c r="O155" i="36" s="1"/>
  <c r="N33" i="36"/>
  <c r="O33" i="36" s="1"/>
  <c r="N156" i="36"/>
  <c r="O156" i="36" s="1"/>
  <c r="N134" i="36"/>
  <c r="O134" i="36" s="1"/>
  <c r="N19" i="36"/>
  <c r="O19" i="36" s="1"/>
  <c r="N61" i="36"/>
  <c r="O61" i="36" s="1"/>
  <c r="N136" i="36"/>
  <c r="O136" i="36" s="1"/>
  <c r="N62" i="36"/>
  <c r="O62" i="36" s="1"/>
  <c r="N137" i="36"/>
  <c r="O137" i="36" s="1"/>
  <c r="N63" i="36"/>
  <c r="O63" i="36" s="1"/>
  <c r="N138" i="36"/>
  <c r="O138" i="36" s="1"/>
  <c r="N13" i="36"/>
  <c r="O13" i="36" s="1"/>
  <c r="N65" i="36"/>
  <c r="O65" i="36" s="1"/>
  <c r="N139" i="36"/>
  <c r="O139" i="36" s="1"/>
  <c r="N15" i="36"/>
  <c r="O15" i="36" s="1"/>
  <c r="N67" i="36"/>
  <c r="O67" i="36" s="1"/>
  <c r="N32" i="36"/>
  <c r="O32" i="36" s="1"/>
  <c r="N109" i="36"/>
  <c r="O109" i="36" s="1"/>
  <c r="N110" i="36"/>
  <c r="O110" i="36" s="1"/>
  <c r="N34" i="36"/>
  <c r="O34" i="36" s="1"/>
  <c r="N78" i="36"/>
  <c r="O78" i="36" s="1"/>
  <c r="N111" i="36"/>
  <c r="O111" i="36" s="1"/>
  <c r="N35" i="36"/>
  <c r="O35" i="36" s="1"/>
  <c r="N79" i="36"/>
  <c r="O79" i="36" s="1"/>
  <c r="N112" i="36"/>
  <c r="O112" i="36" s="1"/>
  <c r="N14" i="36"/>
  <c r="O14" i="36" s="1"/>
  <c r="N36" i="36"/>
  <c r="O36" i="36" s="1"/>
  <c r="N80" i="36"/>
  <c r="O80" i="36" s="1"/>
  <c r="N113" i="36"/>
  <c r="O113" i="36" s="1"/>
  <c r="N153" i="36"/>
  <c r="O153" i="36" s="1"/>
  <c r="N135" i="36"/>
  <c r="O135" i="36" s="1"/>
  <c r="N37" i="36"/>
  <c r="O37" i="36" s="1"/>
  <c r="N81" i="36"/>
  <c r="O81" i="36" s="1"/>
  <c r="N114" i="36"/>
  <c r="O114" i="36" s="1"/>
  <c r="N4" i="36"/>
  <c r="O4" i="36" s="1"/>
  <c r="N38" i="36"/>
  <c r="O38" i="36" s="1"/>
  <c r="N82" i="36"/>
  <c r="O82" i="36" s="1"/>
  <c r="N115" i="36"/>
  <c r="O115" i="36" s="1"/>
  <c r="N133" i="36"/>
  <c r="O133" i="36" s="1"/>
  <c r="N5" i="36"/>
  <c r="O5" i="36" s="1"/>
  <c r="N39" i="36"/>
  <c r="O39" i="36" s="1"/>
  <c r="N83" i="36"/>
  <c r="O83" i="36" s="1"/>
  <c r="N124" i="36"/>
  <c r="O124" i="36" s="1"/>
  <c r="N6" i="36"/>
  <c r="O6" i="36" s="1"/>
  <c r="N41" i="36"/>
  <c r="O41" i="36" s="1"/>
  <c r="N84" i="36"/>
  <c r="O84" i="36" s="1"/>
  <c r="N125" i="36"/>
  <c r="O125" i="36" s="1"/>
  <c r="N157" i="36"/>
  <c r="O157" i="36" s="1"/>
  <c r="N7" i="36"/>
  <c r="O7" i="36" s="1"/>
  <c r="N43" i="36"/>
  <c r="O43" i="36" s="1"/>
  <c r="N85" i="36"/>
  <c r="O85" i="36" s="1"/>
  <c r="N126" i="36"/>
  <c r="O126" i="36" s="1"/>
  <c r="N158" i="36"/>
  <c r="O158" i="36" s="1"/>
  <c r="N8" i="36"/>
  <c r="O8" i="36" s="1"/>
  <c r="N52" i="36"/>
  <c r="O52" i="36" s="1"/>
  <c r="N86" i="36"/>
  <c r="O86" i="36" s="1"/>
  <c r="N127" i="36"/>
  <c r="O127" i="36" s="1"/>
  <c r="N159" i="36"/>
  <c r="O159" i="36" s="1"/>
  <c r="N9" i="36"/>
  <c r="O9" i="36" s="1"/>
  <c r="N53" i="36"/>
  <c r="O53" i="36" s="1"/>
  <c r="N87" i="36"/>
  <c r="O87" i="36" s="1"/>
  <c r="N128" i="36"/>
  <c r="O128" i="36" s="1"/>
  <c r="N160" i="36"/>
  <c r="O160" i="36" s="1"/>
  <c r="N10" i="36"/>
  <c r="O10" i="36" s="1"/>
  <c r="N54" i="36"/>
  <c r="O54" i="36" s="1"/>
  <c r="N88" i="36"/>
  <c r="O88" i="36" s="1"/>
  <c r="N129" i="36"/>
  <c r="O129" i="36" s="1"/>
  <c r="N161" i="36"/>
  <c r="O161" i="36" s="1"/>
  <c r="N11" i="36"/>
  <c r="O11" i="36" s="1"/>
  <c r="N55" i="36"/>
  <c r="O55" i="36" s="1"/>
  <c r="N89" i="36"/>
  <c r="O89" i="36" s="1"/>
  <c r="N130" i="36"/>
  <c r="O130" i="36" s="1"/>
  <c r="N162" i="36"/>
  <c r="O162" i="36" s="1"/>
  <c r="N12" i="36"/>
  <c r="O12" i="36" s="1"/>
  <c r="N56" i="36"/>
  <c r="O56" i="36" s="1"/>
  <c r="N91" i="36"/>
  <c r="O91" i="36" s="1"/>
  <c r="N131" i="36"/>
  <c r="O131" i="36" s="1"/>
  <c r="N163" i="36"/>
  <c r="O163" i="36" s="1"/>
  <c r="N16" i="36"/>
  <c r="O16" i="36" s="1"/>
  <c r="N40" i="36"/>
  <c r="O40" i="36" s="1"/>
  <c r="N64" i="36"/>
  <c r="O64" i="36" s="1"/>
  <c r="N18" i="36"/>
  <c r="O18" i="36" s="1"/>
  <c r="N42" i="36"/>
  <c r="O42" i="36" s="1"/>
  <c r="N66" i="36"/>
  <c r="O66" i="36" s="1"/>
  <c r="N90" i="36"/>
  <c r="O90" i="36" s="1"/>
  <c r="N20" i="36"/>
  <c r="O20" i="36" s="1"/>
  <c r="N44" i="36"/>
  <c r="O44" i="36" s="1"/>
  <c r="N68" i="36"/>
  <c r="O68" i="36" s="1"/>
  <c r="N92" i="36"/>
  <c r="O92" i="36" s="1"/>
  <c r="N116" i="36"/>
  <c r="O116" i="36" s="1"/>
  <c r="N140" i="36"/>
  <c r="O140" i="36" s="1"/>
  <c r="N164" i="36"/>
  <c r="O164" i="36" s="1"/>
  <c r="N21" i="36"/>
  <c r="O21" i="36" s="1"/>
  <c r="N45" i="36"/>
  <c r="O45" i="36" s="1"/>
  <c r="N69" i="36"/>
  <c r="O69" i="36" s="1"/>
  <c r="N93" i="36"/>
  <c r="O93" i="36" s="1"/>
  <c r="N117" i="36"/>
  <c r="O117" i="36" s="1"/>
  <c r="N141" i="36"/>
  <c r="O141" i="36" s="1"/>
  <c r="N165" i="36"/>
  <c r="O165" i="36" s="1"/>
  <c r="N22" i="36"/>
  <c r="O22" i="36" s="1"/>
  <c r="N46" i="36"/>
  <c r="O46" i="36" s="1"/>
  <c r="N70" i="36"/>
  <c r="O70" i="36" s="1"/>
  <c r="N94" i="36"/>
  <c r="O94" i="36" s="1"/>
  <c r="N118" i="36"/>
  <c r="O118" i="36" s="1"/>
  <c r="N142" i="36"/>
  <c r="O142" i="36" s="1"/>
  <c r="N166" i="36"/>
  <c r="O166" i="36" s="1"/>
  <c r="N23" i="36"/>
  <c r="O23" i="36" s="1"/>
  <c r="N47" i="36"/>
  <c r="O47" i="36" s="1"/>
  <c r="N71" i="36"/>
  <c r="O71" i="36" s="1"/>
  <c r="N95" i="36"/>
  <c r="O95" i="36" s="1"/>
  <c r="N119" i="36"/>
  <c r="O119" i="36" s="1"/>
  <c r="N143" i="36"/>
  <c r="O143" i="36" s="1"/>
  <c r="N167" i="36"/>
  <c r="O167" i="36" s="1"/>
  <c r="N24" i="36"/>
  <c r="O24" i="36" s="1"/>
  <c r="N48" i="36"/>
  <c r="O48" i="36" s="1"/>
  <c r="N72" i="36"/>
  <c r="O72" i="36" s="1"/>
  <c r="N96" i="36"/>
  <c r="O96" i="36" s="1"/>
  <c r="N120" i="36"/>
  <c r="O120" i="36" s="1"/>
  <c r="N144" i="36"/>
  <c r="O144" i="36" s="1"/>
  <c r="N168" i="36"/>
  <c r="O168" i="36" s="1"/>
  <c r="N25" i="36"/>
  <c r="O25" i="36" s="1"/>
  <c r="N49" i="36"/>
  <c r="O49" i="36" s="1"/>
  <c r="N73" i="36"/>
  <c r="O73" i="36" s="1"/>
  <c r="N97" i="36"/>
  <c r="O97" i="36" s="1"/>
  <c r="N121" i="36"/>
  <c r="O121" i="36" s="1"/>
  <c r="N145" i="36"/>
  <c r="O145" i="36" s="1"/>
  <c r="N169" i="36"/>
  <c r="O169" i="36" s="1"/>
  <c r="N2" i="36"/>
  <c r="O2" i="36" s="1"/>
  <c r="N26" i="36"/>
  <c r="O26" i="36" s="1"/>
  <c r="N50" i="36"/>
  <c r="O50" i="36" s="1"/>
  <c r="N74" i="36"/>
  <c r="O74" i="36" s="1"/>
  <c r="N98" i="36"/>
  <c r="O98" i="36" s="1"/>
  <c r="N122" i="36"/>
  <c r="O122" i="36" s="1"/>
  <c r="N146" i="36"/>
  <c r="O146" i="36" s="1"/>
  <c r="N170" i="36"/>
  <c r="O170" i="36" s="1"/>
  <c r="N3" i="36"/>
  <c r="O3" i="36" s="1"/>
  <c r="N27" i="36"/>
  <c r="O27" i="36" s="1"/>
  <c r="N51" i="36"/>
  <c r="O51" i="36" s="1"/>
  <c r="N75" i="36"/>
  <c r="O75" i="36" s="1"/>
  <c r="N99" i="36"/>
  <c r="O99" i="36" s="1"/>
  <c r="N123" i="36"/>
  <c r="O123" i="36" s="1"/>
  <c r="N147" i="36"/>
  <c r="O147" i="36" s="1"/>
  <c r="N171" i="36"/>
  <c r="O171" i="36" s="1"/>
  <c r="D21" i="35"/>
  <c r="D19" i="35"/>
  <c r="D20" i="35"/>
  <c r="D17" i="35"/>
  <c r="D26" i="35"/>
  <c r="D11" i="35"/>
  <c r="D25" i="35"/>
  <c r="D15" i="35"/>
  <c r="D14" i="35"/>
  <c r="D12" i="35"/>
  <c r="D13" i="35"/>
  <c r="D24" i="35"/>
  <c r="D22" i="35"/>
  <c r="D4" i="35"/>
  <c r="D10" i="35"/>
  <c r="D8" i="35"/>
  <c r="D9" i="35"/>
  <c r="D7" i="35"/>
  <c r="D6" i="35"/>
  <c r="D2" i="35"/>
  <c r="C135" i="34" l="1"/>
  <c r="C134" i="34"/>
  <c r="C133" i="34"/>
  <c r="C132" i="34"/>
  <c r="C131" i="34"/>
  <c r="C130" i="34"/>
  <c r="C129" i="34"/>
  <c r="C128" i="34"/>
  <c r="C127" i="34"/>
  <c r="C126" i="34"/>
  <c r="C125" i="34"/>
  <c r="C124" i="34"/>
  <c r="C123" i="34"/>
  <c r="C122" i="34"/>
  <c r="C121" i="34"/>
  <c r="C120" i="34"/>
  <c r="C119" i="34"/>
  <c r="C118" i="34"/>
  <c r="C117" i="34"/>
  <c r="C116" i="34"/>
  <c r="C115" i="34"/>
  <c r="C114" i="34"/>
  <c r="C113" i="34"/>
  <c r="C112" i="34"/>
  <c r="C111" i="34"/>
  <c r="C110" i="34"/>
  <c r="C109" i="34"/>
  <c r="C108" i="34"/>
  <c r="C107" i="34"/>
  <c r="C106" i="34"/>
  <c r="C105" i="34"/>
  <c r="C104" i="34"/>
  <c r="C103" i="34"/>
  <c r="C102" i="34"/>
  <c r="C101" i="34"/>
  <c r="C100" i="34"/>
  <c r="C99" i="34"/>
  <c r="C98" i="34"/>
  <c r="C97" i="34"/>
  <c r="C96" i="34"/>
  <c r="C95" i="34"/>
  <c r="C94" i="34"/>
  <c r="C93" i="34"/>
  <c r="C92" i="34"/>
  <c r="C91" i="34"/>
  <c r="C90" i="34"/>
  <c r="C89" i="34"/>
  <c r="C88" i="34"/>
  <c r="C87" i="34"/>
  <c r="C86" i="34"/>
  <c r="C85" i="34"/>
  <c r="C84" i="34"/>
  <c r="C83" i="34"/>
  <c r="C82" i="34"/>
  <c r="C81" i="34"/>
  <c r="C80" i="34"/>
  <c r="C79" i="34"/>
  <c r="C78" i="34"/>
  <c r="C77" i="34"/>
  <c r="C76" i="34"/>
  <c r="C75" i="34"/>
  <c r="C74" i="34"/>
  <c r="C73" i="34"/>
  <c r="C72" i="34"/>
  <c r="C71" i="34"/>
  <c r="C70" i="34"/>
  <c r="C69" i="34"/>
  <c r="C68" i="34"/>
  <c r="C67" i="34"/>
  <c r="C66" i="34"/>
  <c r="C65" i="34"/>
  <c r="C64" i="34"/>
  <c r="C63" i="34"/>
  <c r="C62" i="34"/>
  <c r="C61" i="34"/>
  <c r="C60" i="34"/>
  <c r="C59" i="34"/>
  <c r="C58" i="34"/>
  <c r="C57" i="34"/>
  <c r="C56" i="34"/>
  <c r="C55" i="34"/>
  <c r="C54" i="34"/>
  <c r="C53" i="34"/>
  <c r="C52" i="34"/>
  <c r="C51" i="34"/>
  <c r="C50" i="34"/>
  <c r="C49" i="34"/>
  <c r="C48" i="34"/>
  <c r="C47" i="34"/>
  <c r="C46" i="34"/>
  <c r="C45" i="34"/>
  <c r="C44" i="34"/>
  <c r="C43" i="34"/>
  <c r="C42" i="34"/>
  <c r="C41" i="34"/>
  <c r="C40" i="34"/>
  <c r="C39" i="34"/>
  <c r="C38" i="34"/>
  <c r="C37" i="34"/>
  <c r="C36" i="34"/>
  <c r="C35" i="34"/>
  <c r="C34" i="34"/>
  <c r="C33" i="34"/>
  <c r="C32" i="34"/>
  <c r="C31" i="34"/>
  <c r="C30" i="34"/>
  <c r="C29" i="34"/>
  <c r="C28" i="34"/>
  <c r="C27" i="34"/>
  <c r="C26" i="34"/>
  <c r="C25" i="34"/>
  <c r="C24" i="34"/>
  <c r="C23" i="34"/>
  <c r="C22" i="34"/>
  <c r="C21" i="34"/>
  <c r="C20" i="34"/>
  <c r="C19" i="34"/>
  <c r="C18" i="34"/>
  <c r="C17" i="34"/>
  <c r="C16" i="34"/>
  <c r="C15" i="34"/>
  <c r="C14" i="34"/>
  <c r="C13" i="34"/>
  <c r="C12" i="34"/>
  <c r="C11" i="34"/>
  <c r="C10" i="34"/>
  <c r="C9" i="34"/>
  <c r="C8" i="34"/>
  <c r="C7" i="34"/>
  <c r="C6" i="34"/>
  <c r="C5" i="34"/>
  <c r="C4" i="34"/>
  <c r="C3" i="34"/>
  <c r="C2" i="34"/>
  <c r="T78" i="11"/>
  <c r="S78" i="11"/>
  <c r="M78" i="11"/>
  <c r="L78" i="11"/>
  <c r="O78" i="11" s="1"/>
  <c r="J78" i="11"/>
  <c r="E78" i="11"/>
  <c r="T77" i="11"/>
  <c r="S77" i="11"/>
  <c r="M77" i="11"/>
  <c r="L77" i="11"/>
  <c r="O77" i="11" s="1"/>
  <c r="J77" i="11"/>
  <c r="E77" i="11"/>
  <c r="T76" i="11"/>
  <c r="S76" i="11"/>
  <c r="M76" i="11"/>
  <c r="L76" i="11"/>
  <c r="N76" i="11" s="1"/>
  <c r="J76" i="11"/>
  <c r="E76" i="11"/>
  <c r="T75" i="11"/>
  <c r="S75" i="11"/>
  <c r="M75" i="11"/>
  <c r="L75" i="11"/>
  <c r="O75" i="11" s="1"/>
  <c r="J75" i="11"/>
  <c r="E75" i="11"/>
  <c r="E68" i="11"/>
  <c r="E69" i="11"/>
  <c r="E70" i="11"/>
  <c r="E71" i="11"/>
  <c r="E72" i="11"/>
  <c r="E73" i="11"/>
  <c r="E74" i="11"/>
  <c r="T74" i="11"/>
  <c r="S74" i="11"/>
  <c r="M74" i="11"/>
  <c r="L74" i="11"/>
  <c r="O74" i="11" s="1"/>
  <c r="J74" i="11"/>
  <c r="T73" i="11"/>
  <c r="S73" i="11"/>
  <c r="M73" i="11"/>
  <c r="L73" i="11"/>
  <c r="N73" i="11" s="1"/>
  <c r="J73" i="11"/>
  <c r="T72" i="11"/>
  <c r="S72" i="11"/>
  <c r="M72" i="11"/>
  <c r="L72" i="11"/>
  <c r="N72" i="11" s="1"/>
  <c r="J72" i="11"/>
  <c r="T71" i="11"/>
  <c r="S71" i="11"/>
  <c r="M71" i="11"/>
  <c r="L71" i="11"/>
  <c r="O71" i="11" s="1"/>
  <c r="J71" i="11"/>
  <c r="T70" i="11"/>
  <c r="S70" i="11"/>
  <c r="M70" i="11"/>
  <c r="L70" i="11"/>
  <c r="N70" i="11" s="1"/>
  <c r="J70" i="11"/>
  <c r="T69" i="11"/>
  <c r="S69" i="11"/>
  <c r="M69" i="11"/>
  <c r="L69" i="11"/>
  <c r="O69" i="11" s="1"/>
  <c r="U69" i="11" s="1"/>
  <c r="J69" i="11"/>
  <c r="T68" i="11"/>
  <c r="S68" i="11"/>
  <c r="M68" i="11"/>
  <c r="L68" i="11"/>
  <c r="N68" i="11" s="1"/>
  <c r="J68" i="11"/>
  <c r="T67" i="11"/>
  <c r="S67" i="11"/>
  <c r="M67" i="11"/>
  <c r="L67" i="11"/>
  <c r="N67" i="11" s="1"/>
  <c r="J67" i="11"/>
  <c r="E67" i="11"/>
  <c r="N78" i="11" l="1"/>
  <c r="R75" i="11"/>
  <c r="Q75" i="11"/>
  <c r="P75" i="11"/>
  <c r="U75" i="11"/>
  <c r="R77" i="11"/>
  <c r="P77" i="11"/>
  <c r="Q77" i="11"/>
  <c r="U77" i="11"/>
  <c r="U78" i="11"/>
  <c r="R78" i="11"/>
  <c r="Q78" i="11"/>
  <c r="P78" i="11"/>
  <c r="N77" i="11"/>
  <c r="N75" i="11"/>
  <c r="O76" i="11"/>
  <c r="N69" i="11"/>
  <c r="O72" i="11"/>
  <c r="U72" i="11" s="1"/>
  <c r="R71" i="11"/>
  <c r="P71" i="11"/>
  <c r="Q71" i="11"/>
  <c r="U71" i="11"/>
  <c r="U74" i="11"/>
  <c r="R74" i="11"/>
  <c r="Q74" i="11"/>
  <c r="P74" i="11"/>
  <c r="O73" i="11"/>
  <c r="N71" i="11"/>
  <c r="N74" i="11"/>
  <c r="O70" i="11"/>
  <c r="P69" i="11"/>
  <c r="Q69" i="11"/>
  <c r="R69" i="11"/>
  <c r="O68" i="11"/>
  <c r="O67" i="11"/>
  <c r="U67" i="11" s="1"/>
  <c r="R67" i="11"/>
  <c r="P72" i="11" l="1"/>
  <c r="R72" i="11"/>
  <c r="Q72" i="11"/>
  <c r="U76" i="11"/>
  <c r="P76" i="11"/>
  <c r="R76" i="11"/>
  <c r="Q76" i="11"/>
  <c r="R73" i="11"/>
  <c r="U73" i="11"/>
  <c r="Q73" i="11"/>
  <c r="P73" i="11"/>
  <c r="U70" i="11"/>
  <c r="R70" i="11"/>
  <c r="Q70" i="11"/>
  <c r="P70" i="11"/>
  <c r="U68" i="11"/>
  <c r="R68" i="11"/>
  <c r="Q68" i="11"/>
  <c r="P68" i="11"/>
  <c r="P67" i="11"/>
  <c r="Q67" i="11"/>
  <c r="L3" i="11" l="1"/>
  <c r="N3" i="11" s="1"/>
  <c r="L4" i="11"/>
  <c r="O4" i="11" s="1"/>
  <c r="P4" i="11" s="1"/>
  <c r="L5" i="11"/>
  <c r="N5" i="11" s="1"/>
  <c r="L6" i="11"/>
  <c r="O6" i="11" s="1"/>
  <c r="P6" i="11" s="1"/>
  <c r="L7" i="11"/>
  <c r="O7" i="11" s="1"/>
  <c r="P7" i="11" s="1"/>
  <c r="L8" i="11"/>
  <c r="L9" i="11"/>
  <c r="L10" i="11"/>
  <c r="L11" i="11"/>
  <c r="O11" i="11" s="1"/>
  <c r="P11" i="11" s="1"/>
  <c r="L12" i="11"/>
  <c r="O12" i="11" s="1"/>
  <c r="P12" i="11" s="1"/>
  <c r="L13" i="11"/>
  <c r="N13" i="11" s="1"/>
  <c r="L14" i="11"/>
  <c r="N14" i="11" s="1"/>
  <c r="L15" i="11"/>
  <c r="O15" i="11" s="1"/>
  <c r="P15" i="11" s="1"/>
  <c r="L16" i="11"/>
  <c r="N16" i="11" s="1"/>
  <c r="L17" i="11"/>
  <c r="N17" i="11" s="1"/>
  <c r="L18" i="11"/>
  <c r="N18" i="11" s="1"/>
  <c r="L19" i="11"/>
  <c r="N19" i="11" s="1"/>
  <c r="L20" i="11"/>
  <c r="N20" i="11" s="1"/>
  <c r="L21" i="11"/>
  <c r="O21" i="11" s="1"/>
  <c r="P21" i="11" s="1"/>
  <c r="L22" i="11"/>
  <c r="N22" i="11" s="1"/>
  <c r="L23" i="11"/>
  <c r="N23" i="11" s="1"/>
  <c r="L24" i="11"/>
  <c r="N24" i="11" s="1"/>
  <c r="L25" i="11"/>
  <c r="N25" i="11" s="1"/>
  <c r="L26" i="11"/>
  <c r="N26" i="11" s="1"/>
  <c r="L27" i="11"/>
  <c r="O27" i="11" s="1"/>
  <c r="P27" i="11" s="1"/>
  <c r="L28" i="11"/>
  <c r="N28" i="11" s="1"/>
  <c r="L29" i="11"/>
  <c r="N29" i="11" s="1"/>
  <c r="L30" i="11"/>
  <c r="O30" i="11" s="1"/>
  <c r="P30" i="11" s="1"/>
  <c r="L31" i="11"/>
  <c r="L32" i="11"/>
  <c r="O32" i="11" s="1"/>
  <c r="P32" i="11" s="1"/>
  <c r="L33" i="11"/>
  <c r="L34" i="11"/>
  <c r="L35" i="11"/>
  <c r="O35" i="11" s="1"/>
  <c r="P35" i="11" s="1"/>
  <c r="L36" i="11"/>
  <c r="N36" i="11" s="1"/>
  <c r="L37" i="11"/>
  <c r="N37" i="11" s="1"/>
  <c r="L38" i="11"/>
  <c r="O38" i="11" s="1"/>
  <c r="P38" i="11" s="1"/>
  <c r="L39" i="11"/>
  <c r="O39" i="11" s="1"/>
  <c r="P39" i="11" s="1"/>
  <c r="L40" i="11"/>
  <c r="N40" i="11" s="1"/>
  <c r="L41" i="11"/>
  <c r="N41" i="11" s="1"/>
  <c r="L42" i="11"/>
  <c r="N42" i="11" s="1"/>
  <c r="L43" i="11"/>
  <c r="N43" i="11" s="1"/>
  <c r="L44" i="11"/>
  <c r="N44" i="11" s="1"/>
  <c r="L45" i="11"/>
  <c r="N45" i="11" s="1"/>
  <c r="L46" i="11"/>
  <c r="N46" i="11" s="1"/>
  <c r="L47" i="11"/>
  <c r="N47" i="11" s="1"/>
  <c r="L48" i="11"/>
  <c r="N48" i="11" s="1"/>
  <c r="L49" i="11"/>
  <c r="N49" i="11" s="1"/>
  <c r="L50" i="11"/>
  <c r="N50" i="11" s="1"/>
  <c r="L51" i="11"/>
  <c r="N51" i="11" s="1"/>
  <c r="L52" i="11"/>
  <c r="N52" i="11" s="1"/>
  <c r="L53" i="11"/>
  <c r="N53" i="11" s="1"/>
  <c r="L54" i="11"/>
  <c r="N54" i="11" s="1"/>
  <c r="L55" i="11"/>
  <c r="N55" i="11" s="1"/>
  <c r="L56" i="11"/>
  <c r="O56" i="11" s="1"/>
  <c r="P56" i="11" s="1"/>
  <c r="L57" i="11"/>
  <c r="N57" i="11" s="1"/>
  <c r="L58" i="11"/>
  <c r="L59" i="11"/>
  <c r="O59" i="11" s="1"/>
  <c r="P59" i="11" s="1"/>
  <c r="L60" i="11"/>
  <c r="O60" i="11" s="1"/>
  <c r="P60" i="11" s="1"/>
  <c r="L61" i="11"/>
  <c r="O61" i="11" s="1"/>
  <c r="P61" i="11" s="1"/>
  <c r="L62" i="11"/>
  <c r="N62" i="11" s="1"/>
  <c r="L63" i="11"/>
  <c r="N63" i="11" s="1"/>
  <c r="L64" i="11"/>
  <c r="N64" i="11" s="1"/>
  <c r="L65" i="11"/>
  <c r="N65" i="11" s="1"/>
  <c r="O62" i="11"/>
  <c r="P62" i="11" s="1"/>
  <c r="O58" i="11"/>
  <c r="P58" i="11" s="1"/>
  <c r="O55" i="11"/>
  <c r="P55" i="11" s="1"/>
  <c r="O34" i="11"/>
  <c r="P34" i="11" s="1"/>
  <c r="O33" i="11"/>
  <c r="P33" i="11" s="1"/>
  <c r="O31" i="11"/>
  <c r="P31" i="11" s="1"/>
  <c r="O14" i="11"/>
  <c r="P14" i="11" s="1"/>
  <c r="O10" i="11"/>
  <c r="P10" i="11" s="1"/>
  <c r="N58" i="11"/>
  <c r="N56" i="11"/>
  <c r="N38" i="11"/>
  <c r="N34" i="11"/>
  <c r="N31" i="11"/>
  <c r="N11" i="11"/>
  <c r="N10" i="11"/>
  <c r="N9" i="11"/>
  <c r="N7" i="11"/>
  <c r="L2" i="11"/>
  <c r="O2" i="11" s="1"/>
  <c r="P2" i="11" s="1"/>
  <c r="N61" i="11" l="1"/>
  <c r="O52" i="11"/>
  <c r="P52" i="11" s="1"/>
  <c r="N6" i="11"/>
  <c r="N30" i="11"/>
  <c r="O53" i="11"/>
  <c r="P53" i="11" s="1"/>
  <c r="O5" i="11"/>
  <c r="P5" i="11" s="1"/>
  <c r="O29" i="11"/>
  <c r="P29" i="11" s="1"/>
  <c r="O3" i="11"/>
  <c r="P3" i="11" s="1"/>
  <c r="O28" i="11"/>
  <c r="P28" i="11" s="1"/>
  <c r="N27" i="11"/>
  <c r="O37" i="11"/>
  <c r="P37" i="11" s="1"/>
  <c r="O40" i="11"/>
  <c r="P40" i="11" s="1"/>
  <c r="O36" i="11"/>
  <c r="P36" i="11" s="1"/>
  <c r="N39" i="11"/>
  <c r="N60" i="11"/>
  <c r="N12" i="11"/>
  <c r="N15" i="11"/>
  <c r="N4" i="11"/>
  <c r="N32" i="11"/>
  <c r="O41" i="11"/>
  <c r="P41" i="11" s="1"/>
  <c r="N33" i="11"/>
  <c r="O8" i="11"/>
  <c r="P8" i="11" s="1"/>
  <c r="O42" i="11"/>
  <c r="P42" i="11" s="1"/>
  <c r="O9" i="11"/>
  <c r="P9" i="11" s="1"/>
  <c r="O51" i="11"/>
  <c r="P51" i="11" s="1"/>
  <c r="N35" i="11"/>
  <c r="N2" i="11"/>
  <c r="O13" i="11"/>
  <c r="P13" i="11" s="1"/>
  <c r="O54" i="11"/>
  <c r="P54" i="11" s="1"/>
  <c r="O16" i="11"/>
  <c r="P16" i="11" s="1"/>
  <c r="O57" i="11"/>
  <c r="P57" i="11" s="1"/>
  <c r="O17" i="11"/>
  <c r="P17" i="11" s="1"/>
  <c r="O18" i="11"/>
  <c r="P18" i="11" s="1"/>
  <c r="N8" i="11"/>
  <c r="O64" i="11"/>
  <c r="P64" i="11" s="1"/>
  <c r="O65" i="11"/>
  <c r="P65" i="11" s="1"/>
  <c r="N59" i="11"/>
  <c r="O63" i="11"/>
  <c r="P63" i="11" s="1"/>
  <c r="O19" i="11"/>
  <c r="P19" i="11" s="1"/>
  <c r="O45" i="11"/>
  <c r="P45" i="11" s="1"/>
  <c r="O44" i="11"/>
  <c r="P44" i="11" s="1"/>
  <c r="O22" i="11"/>
  <c r="P22" i="11" s="1"/>
  <c r="O23" i="11"/>
  <c r="P23" i="11" s="1"/>
  <c r="O25" i="11"/>
  <c r="P25" i="11" s="1"/>
  <c r="O49" i="11"/>
  <c r="P49" i="11" s="1"/>
  <c r="O47" i="11"/>
  <c r="P47" i="11" s="1"/>
  <c r="O26" i="11"/>
  <c r="P26" i="11" s="1"/>
  <c r="O50" i="11"/>
  <c r="P50" i="11" s="1"/>
  <c r="O43" i="11"/>
  <c r="P43" i="11" s="1"/>
  <c r="O46" i="11"/>
  <c r="P46" i="11" s="1"/>
  <c r="O48" i="11"/>
  <c r="P48" i="11" s="1"/>
  <c r="O20" i="11"/>
  <c r="P20" i="11" s="1"/>
  <c r="O24" i="11"/>
  <c r="P24" i="11" s="1"/>
  <c r="N21" i="11"/>
  <c r="M34" i="11"/>
  <c r="M35" i="11"/>
  <c r="M36" i="11"/>
  <c r="M37" i="11"/>
  <c r="M38" i="11"/>
  <c r="M39" i="11"/>
  <c r="M40" i="11"/>
  <c r="M41" i="11"/>
  <c r="M42" i="11"/>
  <c r="M44" i="11"/>
  <c r="M45" i="11"/>
  <c r="M46" i="11"/>
  <c r="M47" i="11"/>
  <c r="M48" i="11"/>
  <c r="M49" i="11"/>
  <c r="M50" i="11"/>
  <c r="M51" i="11"/>
  <c r="M52" i="11"/>
  <c r="M54" i="11"/>
  <c r="M55" i="11"/>
  <c r="M56" i="11"/>
  <c r="M57" i="11"/>
  <c r="M58" i="11"/>
  <c r="M59" i="11"/>
  <c r="M60" i="11"/>
  <c r="M61" i="11"/>
  <c r="M62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S47" i="11" l="1"/>
  <c r="M43" i="11"/>
  <c r="M53" i="11"/>
  <c r="M63" i="11"/>
  <c r="M65" i="11"/>
  <c r="M64" i="11"/>
  <c r="T46" i="11"/>
  <c r="H196" i="21"/>
  <c r="H195" i="21"/>
  <c r="H194" i="21"/>
  <c r="H193" i="21"/>
  <c r="H192" i="21"/>
  <c r="H191" i="21"/>
  <c r="H190" i="21"/>
  <c r="H189" i="21"/>
  <c r="H188" i="21"/>
  <c r="H187" i="21"/>
  <c r="H186" i="21"/>
  <c r="H185" i="21"/>
  <c r="H184" i="21"/>
  <c r="H183" i="21"/>
  <c r="H182" i="21"/>
  <c r="H181" i="21"/>
  <c r="H180" i="21"/>
  <c r="H179" i="21"/>
  <c r="H178" i="21"/>
  <c r="H177" i="21"/>
  <c r="H176" i="21"/>
  <c r="H175" i="21"/>
  <c r="H174" i="21"/>
  <c r="H173" i="21"/>
  <c r="H172" i="21"/>
  <c r="H171" i="21"/>
  <c r="H170" i="21"/>
  <c r="H169" i="21"/>
  <c r="H168" i="21"/>
  <c r="H167" i="21"/>
  <c r="H166" i="21"/>
  <c r="H165" i="21"/>
  <c r="H164" i="21"/>
  <c r="H163" i="21"/>
  <c r="H162" i="21"/>
  <c r="H161" i="21"/>
  <c r="H160" i="21"/>
  <c r="H159" i="21"/>
  <c r="H158" i="21"/>
  <c r="H157" i="21"/>
  <c r="H156" i="21"/>
  <c r="H155" i="21"/>
  <c r="H154" i="21"/>
  <c r="H153" i="21"/>
  <c r="H152" i="21"/>
  <c r="H151" i="21"/>
  <c r="H150" i="21"/>
  <c r="H149" i="21"/>
  <c r="H148" i="21"/>
  <c r="H147" i="21"/>
  <c r="H146" i="21"/>
  <c r="H145" i="21"/>
  <c r="H144" i="21"/>
  <c r="H143" i="21"/>
  <c r="H142" i="21"/>
  <c r="H141" i="21"/>
  <c r="H140" i="21"/>
  <c r="H139" i="21"/>
  <c r="H138" i="21"/>
  <c r="H137" i="21"/>
  <c r="H136" i="21"/>
  <c r="H135" i="21"/>
  <c r="H134" i="21"/>
  <c r="H133" i="21"/>
  <c r="H132" i="21"/>
  <c r="H131" i="21"/>
  <c r="H130" i="21"/>
  <c r="H129" i="21"/>
  <c r="H128" i="21"/>
  <c r="H127" i="21"/>
  <c r="H126" i="21"/>
  <c r="H125" i="21"/>
  <c r="H124" i="21"/>
  <c r="H123" i="21"/>
  <c r="H122" i="21"/>
  <c r="H121" i="21"/>
  <c r="H120" i="21"/>
  <c r="H119" i="21"/>
  <c r="H118" i="21"/>
  <c r="H117" i="21"/>
  <c r="H116" i="21"/>
  <c r="H115" i="21"/>
  <c r="H114" i="21"/>
  <c r="H113" i="21"/>
  <c r="H112" i="21"/>
  <c r="H111" i="21"/>
  <c r="H110" i="21"/>
  <c r="H109" i="21"/>
  <c r="H108" i="21"/>
  <c r="H107" i="21"/>
  <c r="H106" i="21"/>
  <c r="H105" i="21"/>
  <c r="H104" i="21"/>
  <c r="H103" i="21"/>
  <c r="H102" i="21"/>
  <c r="H101" i="21"/>
  <c r="H100" i="21"/>
  <c r="H99" i="21"/>
  <c r="H98" i="21"/>
  <c r="H97" i="21"/>
  <c r="H96" i="21"/>
  <c r="H95" i="21"/>
  <c r="H94" i="21"/>
  <c r="H93" i="21"/>
  <c r="H92" i="21"/>
  <c r="H91" i="21"/>
  <c r="H90" i="21"/>
  <c r="H89" i="21"/>
  <c r="H88" i="21"/>
  <c r="H87" i="21"/>
  <c r="H86" i="21"/>
  <c r="H85" i="21"/>
  <c r="H84" i="21"/>
  <c r="H83" i="21"/>
  <c r="H82" i="21"/>
  <c r="H81" i="21"/>
  <c r="H80" i="21"/>
  <c r="H79" i="21"/>
  <c r="H78" i="21"/>
  <c r="H77" i="21"/>
  <c r="H76" i="21"/>
  <c r="H75" i="2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H2" i="2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T2" i="11"/>
  <c r="S23" i="11"/>
  <c r="S22" i="11"/>
  <c r="S19" i="11"/>
  <c r="S18" i="11"/>
  <c r="S17" i="11"/>
  <c r="S16" i="11"/>
  <c r="S15" i="11"/>
  <c r="S14" i="11"/>
  <c r="S13" i="11"/>
  <c r="S12" i="11"/>
  <c r="S11" i="11"/>
  <c r="S10" i="11"/>
  <c r="S9" i="11"/>
  <c r="S8" i="11"/>
  <c r="S7" i="11"/>
  <c r="S6" i="11"/>
  <c r="S5" i="11"/>
  <c r="S4" i="11"/>
  <c r="S3" i="11"/>
  <c r="S2" i="11"/>
  <c r="S62" i="11"/>
  <c r="S61" i="11"/>
  <c r="S60" i="11"/>
  <c r="S59" i="11"/>
  <c r="S58" i="11"/>
  <c r="S57" i="11"/>
  <c r="S56" i="11"/>
  <c r="S54" i="11"/>
  <c r="S52" i="11"/>
  <c r="S51" i="11"/>
  <c r="S50" i="11"/>
  <c r="S48" i="11"/>
  <c r="S45" i="11"/>
  <c r="S44" i="11"/>
  <c r="S41" i="11"/>
  <c r="S40" i="11"/>
  <c r="S39" i="11"/>
  <c r="S38" i="11"/>
  <c r="S37" i="11"/>
  <c r="S35" i="11"/>
  <c r="S34" i="11"/>
  <c r="B65" i="21"/>
  <c r="B64" i="21"/>
  <c r="B63" i="21"/>
  <c r="B196" i="21"/>
  <c r="B195" i="21"/>
  <c r="B194" i="21"/>
  <c r="B193" i="21"/>
  <c r="B192" i="21"/>
  <c r="B191" i="2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4" i="11"/>
  <c r="E45" i="11"/>
  <c r="E46" i="11"/>
  <c r="E47" i="11"/>
  <c r="E48" i="11"/>
  <c r="E49" i="11"/>
  <c r="E50" i="11"/>
  <c r="E51" i="11"/>
  <c r="E52" i="11"/>
  <c r="E54" i="11"/>
  <c r="E55" i="11"/>
  <c r="E56" i="11"/>
  <c r="E57" i="11"/>
  <c r="E58" i="11"/>
  <c r="E59" i="11"/>
  <c r="E60" i="11"/>
  <c r="E61" i="11"/>
  <c r="E62" i="11"/>
  <c r="E64" i="11"/>
  <c r="E65" i="11"/>
  <c r="E43" i="11"/>
  <c r="E53" i="11"/>
  <c r="G53" i="11" s="1"/>
  <c r="R53" i="11" s="1"/>
  <c r="E63" i="11"/>
  <c r="G63" i="11" s="1"/>
  <c r="R63" i="11" s="1"/>
  <c r="Q50" i="11" l="1"/>
  <c r="Q7" i="11"/>
  <c r="Q19" i="11"/>
  <c r="Q54" i="11"/>
  <c r="Q48" i="11"/>
  <c r="Q6" i="11"/>
  <c r="Q18" i="11"/>
  <c r="Q45" i="11"/>
  <c r="Q62" i="11"/>
  <c r="Q5" i="11"/>
  <c r="Q17" i="11"/>
  <c r="Q44" i="11"/>
  <c r="Q61" i="11"/>
  <c r="Q4" i="11"/>
  <c r="Q16" i="11"/>
  <c r="Q51" i="11"/>
  <c r="Q8" i="11"/>
  <c r="Q22" i="11"/>
  <c r="Q34" i="11"/>
  <c r="Q52" i="11"/>
  <c r="Q9" i="11"/>
  <c r="Q23" i="11"/>
  <c r="Q35" i="11"/>
  <c r="Q10" i="11"/>
  <c r="Q37" i="11"/>
  <c r="Q56" i="11"/>
  <c r="Q11" i="11"/>
  <c r="Q38" i="11"/>
  <c r="Q57" i="11"/>
  <c r="Q12" i="11"/>
  <c r="Q39" i="11"/>
  <c r="Q58" i="11"/>
  <c r="Q13" i="11"/>
  <c r="Q40" i="11"/>
  <c r="Q59" i="11"/>
  <c r="Q2" i="11"/>
  <c r="Q14" i="11"/>
  <c r="Q41" i="11"/>
  <c r="Q60" i="11"/>
  <c r="Q3" i="11"/>
  <c r="Q15" i="11"/>
  <c r="S32" i="11"/>
  <c r="Q32" i="11"/>
  <c r="S42" i="11"/>
  <c r="Q47" i="11"/>
  <c r="Q42" i="11"/>
  <c r="S46" i="11"/>
  <c r="Q46" i="11"/>
  <c r="U6" i="11"/>
  <c r="U18" i="11"/>
  <c r="U54" i="11"/>
  <c r="U5" i="11"/>
  <c r="U17" i="11"/>
  <c r="U41" i="11"/>
  <c r="U7" i="11"/>
  <c r="U19" i="11"/>
  <c r="U8" i="11"/>
  <c r="U44" i="11"/>
  <c r="U56" i="11"/>
  <c r="U9" i="11"/>
  <c r="U45" i="11"/>
  <c r="U57" i="11"/>
  <c r="U10" i="11"/>
  <c r="U22" i="11"/>
  <c r="U34" i="11"/>
  <c r="U58" i="11"/>
  <c r="U11" i="11"/>
  <c r="U23" i="11"/>
  <c r="U35" i="11"/>
  <c r="U59" i="11"/>
  <c r="U12" i="11"/>
  <c r="U48" i="11"/>
  <c r="U60" i="11"/>
  <c r="U13" i="11"/>
  <c r="U37" i="11"/>
  <c r="U61" i="11"/>
  <c r="U2" i="11"/>
  <c r="U14" i="11"/>
  <c r="U38" i="11"/>
  <c r="U50" i="11"/>
  <c r="U62" i="11"/>
  <c r="U3" i="11"/>
  <c r="U15" i="11"/>
  <c r="U39" i="11"/>
  <c r="U51" i="11"/>
  <c r="U4" i="11"/>
  <c r="U16" i="11"/>
  <c r="U40" i="11"/>
  <c r="U52" i="11"/>
  <c r="S26" i="11"/>
  <c r="Q26" i="11"/>
  <c r="Q27" i="11"/>
  <c r="S27" i="11"/>
  <c r="Q25" i="11"/>
  <c r="S25" i="11"/>
  <c r="Q28" i="11"/>
  <c r="S28" i="11"/>
  <c r="Q29" i="11"/>
  <c r="S29" i="11"/>
  <c r="Q30" i="11"/>
  <c r="S30" i="11"/>
  <c r="Q31" i="11"/>
  <c r="S31" i="11"/>
  <c r="Q20" i="11"/>
  <c r="S20" i="11"/>
  <c r="Q33" i="11"/>
  <c r="S21" i="11"/>
  <c r="S33" i="11"/>
  <c r="Q24" i="11"/>
  <c r="S24" i="11"/>
  <c r="S63" i="11"/>
  <c r="S64" i="11"/>
  <c r="S53" i="11"/>
  <c r="S65" i="11"/>
  <c r="S43" i="11"/>
  <c r="S55" i="11"/>
  <c r="S36" i="11"/>
  <c r="S49" i="11"/>
  <c r="Q36" i="11"/>
  <c r="Q49" i="11"/>
  <c r="Q63" i="11"/>
  <c r="Q64" i="11"/>
  <c r="Q53" i="11"/>
  <c r="Q65" i="11"/>
  <c r="Q43" i="11"/>
  <c r="Q55" i="11"/>
  <c r="G3" i="11"/>
  <c r="R3" i="11" s="1"/>
  <c r="G61" i="11"/>
  <c r="R61" i="11" s="1"/>
  <c r="G48" i="11"/>
  <c r="R48" i="11" s="1"/>
  <c r="G35" i="11"/>
  <c r="R35" i="11" s="1"/>
  <c r="G23" i="11"/>
  <c r="R23" i="11" s="1"/>
  <c r="G11" i="11"/>
  <c r="R11" i="11" s="1"/>
  <c r="H10" i="11"/>
  <c r="H58" i="11"/>
  <c r="G62" i="11"/>
  <c r="R62" i="11" s="1"/>
  <c r="G49" i="11"/>
  <c r="R49" i="11" s="1"/>
  <c r="G36" i="11"/>
  <c r="R36" i="11" s="1"/>
  <c r="G24" i="11"/>
  <c r="R24" i="11" s="1"/>
  <c r="G12" i="11"/>
  <c r="R12" i="11" s="1"/>
  <c r="H21" i="11"/>
  <c r="H32" i="11"/>
  <c r="H20" i="11"/>
  <c r="H8" i="11"/>
  <c r="H19" i="11"/>
  <c r="H60" i="11"/>
  <c r="H9" i="11"/>
  <c r="H44" i="11"/>
  <c r="H7" i="11"/>
  <c r="H56" i="11"/>
  <c r="H42" i="11"/>
  <c r="H30" i="11"/>
  <c r="H18" i="11"/>
  <c r="H6" i="11"/>
  <c r="H34" i="11"/>
  <c r="H33" i="11"/>
  <c r="H45" i="11"/>
  <c r="H57" i="11"/>
  <c r="H31" i="11"/>
  <c r="G55" i="11"/>
  <c r="R55" i="11" s="1"/>
  <c r="G41" i="11"/>
  <c r="R41" i="11" s="1"/>
  <c r="G29" i="11"/>
  <c r="R29" i="11" s="1"/>
  <c r="G17" i="11"/>
  <c r="R17" i="11" s="1"/>
  <c r="G5" i="11"/>
  <c r="R5" i="11" s="1"/>
  <c r="G54" i="11"/>
  <c r="R54" i="11" s="1"/>
  <c r="G40" i="11"/>
  <c r="R40" i="11" s="1"/>
  <c r="G28" i="11"/>
  <c r="R28" i="11" s="1"/>
  <c r="G16" i="11"/>
  <c r="R16" i="11" s="1"/>
  <c r="G4" i="11"/>
  <c r="R4" i="11" s="1"/>
  <c r="H47" i="11"/>
  <c r="H59" i="11"/>
  <c r="G43" i="11"/>
  <c r="R43" i="11" s="1"/>
  <c r="G39" i="11"/>
  <c r="R39" i="11" s="1"/>
  <c r="G27" i="11"/>
  <c r="R27" i="11" s="1"/>
  <c r="G15" i="11"/>
  <c r="R15" i="11" s="1"/>
  <c r="G65" i="11"/>
  <c r="R65" i="11" s="1"/>
  <c r="G51" i="11"/>
  <c r="R51" i="11" s="1"/>
  <c r="G38" i="11"/>
  <c r="R38" i="11" s="1"/>
  <c r="G26" i="11"/>
  <c r="R26" i="11" s="1"/>
  <c r="G14" i="11"/>
  <c r="R14" i="11" s="1"/>
  <c r="G2" i="11"/>
  <c r="R2" i="11" s="1"/>
  <c r="H22" i="11"/>
  <c r="H46" i="11"/>
  <c r="G52" i="11"/>
  <c r="R52" i="11" s="1"/>
  <c r="G64" i="11"/>
  <c r="R64" i="11" s="1"/>
  <c r="G50" i="11"/>
  <c r="R50" i="11" s="1"/>
  <c r="G37" i="11"/>
  <c r="R37" i="11" s="1"/>
  <c r="G25" i="11"/>
  <c r="R25" i="11" s="1"/>
  <c r="G13" i="11"/>
  <c r="R13" i="11" s="1"/>
  <c r="G6" i="11"/>
  <c r="R6" i="11" s="1"/>
  <c r="G18" i="11"/>
  <c r="R18" i="11" s="1"/>
  <c r="G30" i="11"/>
  <c r="R30" i="11" s="1"/>
  <c r="G42" i="11"/>
  <c r="R42" i="11" s="1"/>
  <c r="G56" i="11"/>
  <c r="R56" i="11" s="1"/>
  <c r="H11" i="11"/>
  <c r="H23" i="11"/>
  <c r="H35" i="11"/>
  <c r="H48" i="11"/>
  <c r="H61" i="11"/>
  <c r="G7" i="11"/>
  <c r="R7" i="11" s="1"/>
  <c r="G19" i="11"/>
  <c r="R19" i="11" s="1"/>
  <c r="G31" i="11"/>
  <c r="R31" i="11" s="1"/>
  <c r="G44" i="11"/>
  <c r="R44" i="11" s="1"/>
  <c r="G57" i="11"/>
  <c r="R57" i="11" s="1"/>
  <c r="H12" i="11"/>
  <c r="H24" i="11"/>
  <c r="H36" i="11"/>
  <c r="H49" i="11"/>
  <c r="H62" i="11"/>
  <c r="G8" i="11"/>
  <c r="R8" i="11" s="1"/>
  <c r="G20" i="11"/>
  <c r="R20" i="11" s="1"/>
  <c r="G32" i="11"/>
  <c r="R32" i="11" s="1"/>
  <c r="G45" i="11"/>
  <c r="R45" i="11" s="1"/>
  <c r="G58" i="11"/>
  <c r="R58" i="11" s="1"/>
  <c r="H13" i="11"/>
  <c r="H25" i="11"/>
  <c r="H37" i="11"/>
  <c r="H50" i="11"/>
  <c r="H64" i="11"/>
  <c r="G9" i="11"/>
  <c r="R9" i="11" s="1"/>
  <c r="G21" i="11"/>
  <c r="R21" i="11" s="1"/>
  <c r="G33" i="11"/>
  <c r="R33" i="11" s="1"/>
  <c r="G46" i="11"/>
  <c r="R46" i="11" s="1"/>
  <c r="G59" i="11"/>
  <c r="R59" i="11" s="1"/>
  <c r="H2" i="11"/>
  <c r="H14" i="11"/>
  <c r="H26" i="11"/>
  <c r="H38" i="11"/>
  <c r="H51" i="11"/>
  <c r="H65" i="11"/>
  <c r="G10" i="11"/>
  <c r="R10" i="11" s="1"/>
  <c r="G22" i="11"/>
  <c r="R22" i="11" s="1"/>
  <c r="G34" i="11"/>
  <c r="R34" i="11" s="1"/>
  <c r="G47" i="11"/>
  <c r="R47" i="11" s="1"/>
  <c r="G60" i="11"/>
  <c r="R60" i="11" s="1"/>
  <c r="H3" i="11"/>
  <c r="H15" i="11"/>
  <c r="H27" i="11"/>
  <c r="H39" i="11"/>
  <c r="H52" i="11"/>
  <c r="H43" i="11"/>
  <c r="H4" i="11"/>
  <c r="H16" i="11"/>
  <c r="H28" i="11"/>
  <c r="H40" i="11"/>
  <c r="H54" i="11"/>
  <c r="H53" i="11"/>
  <c r="H5" i="11"/>
  <c r="H17" i="11"/>
  <c r="H29" i="11"/>
  <c r="H41" i="11"/>
  <c r="H55" i="11"/>
  <c r="H63" i="11"/>
  <c r="U24" i="11" l="1"/>
  <c r="U20" i="11"/>
  <c r="U33" i="11"/>
  <c r="U25" i="11"/>
  <c r="U27" i="11"/>
  <c r="U26" i="11"/>
  <c r="U28" i="11"/>
  <c r="U29" i="11"/>
  <c r="U21" i="11"/>
  <c r="U30" i="11"/>
  <c r="U31" i="11"/>
  <c r="U32" i="11"/>
  <c r="U47" i="11"/>
  <c r="U42" i="11"/>
  <c r="U46" i="11"/>
  <c r="U65" i="11"/>
  <c r="U36" i="11"/>
  <c r="U55" i="11"/>
  <c r="U64" i="11"/>
  <c r="U43" i="11"/>
  <c r="U49" i="11"/>
  <c r="U63" i="11"/>
  <c r="U53" i="11"/>
</calcChain>
</file>

<file path=xl/sharedStrings.xml><?xml version="1.0" encoding="utf-8"?>
<sst xmlns="http://schemas.openxmlformats.org/spreadsheetml/2006/main" count="2698" uniqueCount="940">
  <si>
    <t>PLC Name</t>
  </si>
  <si>
    <t>PLC Type</t>
  </si>
  <si>
    <t>#</t>
  </si>
  <si>
    <t>PLC IO TAG</t>
  </si>
  <si>
    <t>TYPE</t>
  </si>
  <si>
    <t>Connector</t>
  </si>
  <si>
    <t>Capabilites</t>
  </si>
  <si>
    <t>Mode USED</t>
  </si>
  <si>
    <t>PLC REF</t>
  </si>
  <si>
    <t>Schematic_IO_Name (26/2/2024)</t>
  </si>
  <si>
    <t>Diag IO Name</t>
  </si>
  <si>
    <t>Diag IO Alarms</t>
  </si>
  <si>
    <t>Machine IO CCT6000_{PLC}  Structs</t>
  </si>
  <si>
    <t>Machine IO Access Name</t>
  </si>
  <si>
    <t>Machine_Link_Inputs / Machine_Link_Outputs</t>
  </si>
  <si>
    <t>Machine_Link_Inputs_Init / Machine_Link_Outputs_Init</t>
  </si>
  <si>
    <t>Viz_Inputs / Viz_Outputs POU VAR Declarations</t>
  </si>
  <si>
    <t>HMI IODiag Update()</t>
  </si>
  <si>
    <t>HMI IO Diag Init()</t>
  </si>
  <si>
    <t>CR0709</t>
  </si>
  <si>
    <t>IN0100</t>
  </si>
  <si>
    <t>IN</t>
  </si>
  <si>
    <t>DIG_CSI</t>
  </si>
  <si>
    <t>IN0101</t>
  </si>
  <si>
    <t>IN0102</t>
  </si>
  <si>
    <t>IN0103</t>
  </si>
  <si>
    <t>IN0200</t>
  </si>
  <si>
    <t>IN0201</t>
  </si>
  <si>
    <t>IN0202</t>
  </si>
  <si>
    <t>IN0203</t>
  </si>
  <si>
    <t>IN0600</t>
  </si>
  <si>
    <t>IN0601</t>
  </si>
  <si>
    <t>IN0602</t>
  </si>
  <si>
    <t>IN0603</t>
  </si>
  <si>
    <t>IN0700</t>
  </si>
  <si>
    <t>IN0701</t>
  </si>
  <si>
    <t>IN0702</t>
  </si>
  <si>
    <t>IN0703</t>
  </si>
  <si>
    <t>IN0000</t>
  </si>
  <si>
    <t>DIG_CSO</t>
  </si>
  <si>
    <t>IN0001</t>
  </si>
  <si>
    <t>IN0002</t>
  </si>
  <si>
    <t>IN0003</t>
  </si>
  <si>
    <t>IN0500</t>
  </si>
  <si>
    <t>IN0501</t>
  </si>
  <si>
    <t>IN0502</t>
  </si>
  <si>
    <t>IN0503</t>
  </si>
  <si>
    <t>IN0400</t>
  </si>
  <si>
    <t>IN0401</t>
  </si>
  <si>
    <t>IN0900</t>
  </si>
  <si>
    <t>IN0901</t>
  </si>
  <si>
    <t>IN0300</t>
  </si>
  <si>
    <t>IN0301</t>
  </si>
  <si>
    <t>IN0800</t>
  </si>
  <si>
    <t>IN0801</t>
  </si>
  <si>
    <t>OUT0000</t>
  </si>
  <si>
    <t>OUT</t>
  </si>
  <si>
    <t>OUT0001</t>
  </si>
  <si>
    <t>OUT0002</t>
  </si>
  <si>
    <t>OUT0003</t>
  </si>
  <si>
    <t>OUT0004</t>
  </si>
  <si>
    <t>OUT0005</t>
  </si>
  <si>
    <t>OUT0006</t>
  </si>
  <si>
    <t>OUT0007</t>
  </si>
  <si>
    <t>OUT0008</t>
  </si>
  <si>
    <t>GROUP0</t>
  </si>
  <si>
    <t>OUT_GRP</t>
  </si>
  <si>
    <t>N/A</t>
  </si>
  <si>
    <t>OUT0100</t>
  </si>
  <si>
    <t>OUT0101</t>
  </si>
  <si>
    <t>OUT0102</t>
  </si>
  <si>
    <t>OUT0103</t>
  </si>
  <si>
    <t>OUT0104</t>
  </si>
  <si>
    <t>OUT0105</t>
  </si>
  <si>
    <t>OUT0106</t>
  </si>
  <si>
    <t>OUT0107</t>
  </si>
  <si>
    <t>OUT0108</t>
  </si>
  <si>
    <t>GROUP1</t>
  </si>
  <si>
    <t>OUT0200</t>
  </si>
  <si>
    <t>OUT0201</t>
  </si>
  <si>
    <t>OUT0202</t>
  </si>
  <si>
    <t>OUT0203</t>
  </si>
  <si>
    <t>OUT0204</t>
  </si>
  <si>
    <t>OUT0205</t>
  </si>
  <si>
    <t>OUT0206</t>
  </si>
  <si>
    <t>OUT0207</t>
  </si>
  <si>
    <t>OUT0208</t>
  </si>
  <si>
    <t>GROUP2</t>
  </si>
  <si>
    <t>OUT3000</t>
  </si>
  <si>
    <t>OUTA</t>
  </si>
  <si>
    <t>OUT3001</t>
  </si>
  <si>
    <t>CHASSIS</t>
  </si>
  <si>
    <t>CR721S</t>
  </si>
  <si>
    <t>IN1100</t>
  </si>
  <si>
    <t>IN1101</t>
  </si>
  <si>
    <t>IN1102</t>
  </si>
  <si>
    <t>IN1103</t>
  </si>
  <si>
    <t>IN1600</t>
  </si>
  <si>
    <t>IN1601</t>
  </si>
  <si>
    <t>IN1602</t>
  </si>
  <si>
    <t>IN1603</t>
  </si>
  <si>
    <t>IN1000</t>
  </si>
  <si>
    <t>IN1001</t>
  </si>
  <si>
    <t>IN1002</t>
  </si>
  <si>
    <t>IN1003</t>
  </si>
  <si>
    <t>IN1500</t>
  </si>
  <si>
    <t>IN1501</t>
  </si>
  <si>
    <t>IN1502</t>
  </si>
  <si>
    <t>IN1503</t>
  </si>
  <si>
    <t>IN1200</t>
  </si>
  <si>
    <t>IN1201</t>
  </si>
  <si>
    <t>IN1202</t>
  </si>
  <si>
    <t>IN1203</t>
  </si>
  <si>
    <t>IN1400</t>
  </si>
  <si>
    <t>IN1401</t>
  </si>
  <si>
    <t>IN1402</t>
  </si>
  <si>
    <t>IN1403</t>
  </si>
  <si>
    <t>IN1700</t>
  </si>
  <si>
    <t>IN1701</t>
  </si>
  <si>
    <t>IN1702</t>
  </si>
  <si>
    <t>IN1703</t>
  </si>
  <si>
    <t>IN1800</t>
  </si>
  <si>
    <t>IN1801</t>
  </si>
  <si>
    <t>IN1802</t>
  </si>
  <si>
    <t>IN1803</t>
  </si>
  <si>
    <t>IN1300</t>
  </si>
  <si>
    <t>IN1301</t>
  </si>
  <si>
    <t>IN1302</t>
  </si>
  <si>
    <t>IN1303</t>
  </si>
  <si>
    <t>OUT0300</t>
  </si>
  <si>
    <t>OUT0301</t>
  </si>
  <si>
    <t>OUT0302</t>
  </si>
  <si>
    <t>OUT0303</t>
  </si>
  <si>
    <t>OUT0304</t>
  </si>
  <si>
    <t>OUT0305</t>
  </si>
  <si>
    <t>OUT0306</t>
  </si>
  <si>
    <t>OUT0307</t>
  </si>
  <si>
    <t>OUT0308</t>
  </si>
  <si>
    <t>GROUP3</t>
  </si>
  <si>
    <t>OUT0400</t>
  </si>
  <si>
    <t>OUT0401</t>
  </si>
  <si>
    <t>OUT0402</t>
  </si>
  <si>
    <t>OUT0403</t>
  </si>
  <si>
    <t>OUT0404</t>
  </si>
  <si>
    <t>OUT0405</t>
  </si>
  <si>
    <t>OUT0406</t>
  </si>
  <si>
    <t>OUT0407</t>
  </si>
  <si>
    <t>OUT0408</t>
  </si>
  <si>
    <t>GROUP4</t>
  </si>
  <si>
    <t>OUT0500</t>
  </si>
  <si>
    <t>OUT0501</t>
  </si>
  <si>
    <t>OUT0502</t>
  </si>
  <si>
    <t>OUT0503</t>
  </si>
  <si>
    <t>OUT0504</t>
  </si>
  <si>
    <t>OUT0505</t>
  </si>
  <si>
    <t>OUT0506</t>
  </si>
  <si>
    <t>OUT0507</t>
  </si>
  <si>
    <t>OUT0508</t>
  </si>
  <si>
    <t>GROUP5</t>
  </si>
  <si>
    <t>OUT3002</t>
  </si>
  <si>
    <t>Index</t>
  </si>
  <si>
    <t>REF</t>
  </si>
  <si>
    <t>Pin</t>
  </si>
  <si>
    <t>Caps</t>
  </si>
  <si>
    <t>Short Caps</t>
  </si>
  <si>
    <t>A</t>
  </si>
  <si>
    <t>A, BL</t>
  </si>
  <si>
    <t>BL/H, FRQL/H</t>
  </si>
  <si>
    <t>R, BL (10 kΩ)</t>
  </si>
  <si>
    <t>BL (3.2 kΩ)</t>
  </si>
  <si>
    <t>PWMH, PWMI, BH (2,5 A)</t>
  </si>
  <si>
    <t>PWM 2.5A</t>
  </si>
  <si>
    <t>PWMH, BH (2,5 A)</t>
  </si>
  <si>
    <t>PWMH/L, PWMI, BH/L (4 A), H</t>
  </si>
  <si>
    <t>PWM 4A</t>
  </si>
  <si>
    <t>PWMH, PWMI, BH (4 A)</t>
  </si>
  <si>
    <t>(0/5/10 V, 400/200 mA)</t>
  </si>
  <si>
    <t>5/10 V</t>
  </si>
  <si>
    <t>A (0...10 V)</t>
  </si>
  <si>
    <t>10 V</t>
  </si>
  <si>
    <t>Supply Group 0</t>
  </si>
  <si>
    <t>Supply Op Grp0</t>
  </si>
  <si>
    <t>Supply Group 1</t>
  </si>
  <si>
    <t>Supply Op Grp1</t>
  </si>
  <si>
    <t>Supply Group 2</t>
  </si>
  <si>
    <t>Supply Op Grp2</t>
  </si>
  <si>
    <t>B</t>
  </si>
  <si>
    <t>BL (10 kΩ)</t>
  </si>
  <si>
    <t>BL (3,2 kΩ)</t>
  </si>
  <si>
    <t>Supply Group 3</t>
  </si>
  <si>
    <t>Supply Op Grp3</t>
  </si>
  <si>
    <t>Supply Group 4</t>
  </si>
  <si>
    <t>Supply Op Grp4</t>
  </si>
  <si>
    <t>Supply Group 5</t>
  </si>
  <si>
    <t>Supply Op Grp5</t>
  </si>
  <si>
    <t>GVL_Alarms.EMERGENCY_STOP_COMMON</t>
  </si>
  <si>
    <t>GVL_Alarms.ETHERNET_PLC_COMMON_FAILURE</t>
  </si>
  <si>
    <t>GVL_Alarms.Battery_Voltage_Warning</t>
  </si>
  <si>
    <t>Battery Voltage Warning</t>
  </si>
  <si>
    <t>ESTOP_OK</t>
  </si>
  <si>
    <t>DRUM_PRESSURE</t>
  </si>
  <si>
    <t>mA</t>
  </si>
  <si>
    <t>RadioRHS_JackLegRaise_Req</t>
  </si>
  <si>
    <t>RHS_TrommelDoorSw</t>
  </si>
  <si>
    <t>LHS_TrommelDoorSw</t>
  </si>
  <si>
    <t>HydOilTemp_Sw</t>
  </si>
  <si>
    <t>HydOilLevel_Sw</t>
  </si>
  <si>
    <t>ThermoStat</t>
  </si>
  <si>
    <t>RadioRHS_JackLegLower_Req</t>
  </si>
  <si>
    <t>RadioLHS_JackLegRaise_Req</t>
  </si>
  <si>
    <t>RadioLHS_JackLegLower_Req</t>
  </si>
  <si>
    <t>FuelLevel_Percent</t>
  </si>
  <si>
    <t>UmbTrackReq</t>
  </si>
  <si>
    <t>UmbMachineStop</t>
  </si>
  <si>
    <t>RTF_Req</t>
  </si>
  <si>
    <t>RTR_Req</t>
  </si>
  <si>
    <t>LTF_Req</t>
  </si>
  <si>
    <t>LTR_Req</t>
  </si>
  <si>
    <t>TailConvSpd_mA</t>
  </si>
  <si>
    <t>RHS_JackLegLower_OP</t>
  </si>
  <si>
    <t>SideConvSpd_mA</t>
  </si>
  <si>
    <t>LHS_JackLegRaise_OP</t>
  </si>
  <si>
    <t>SideTransferSpd_mA</t>
  </si>
  <si>
    <t>LHS_JackLegLower_OP</t>
  </si>
  <si>
    <t>SetupDumpValve_OP</t>
  </si>
  <si>
    <t>CollectionConvSpd_mA</t>
  </si>
  <si>
    <t>CollectionConvOn_OP</t>
  </si>
  <si>
    <t>DrumSpd_mA_RAMP_LIMIT</t>
  </si>
  <si>
    <t>TrackingMode</t>
  </si>
  <si>
    <t>FeederSpd_mA</t>
  </si>
  <si>
    <t>CrankEnable</t>
  </si>
  <si>
    <t>DivertOilToTrack_OP</t>
  </si>
  <si>
    <t>RHS_JackLegRaise_OP</t>
  </si>
  <si>
    <t>TailConvOn_OP</t>
  </si>
  <si>
    <t>SideConvOn_OP</t>
  </si>
  <si>
    <t>SideTransferOn_OP</t>
  </si>
  <si>
    <t>LeftTrackDivert_OP</t>
  </si>
  <si>
    <t>LTF_OP</t>
  </si>
  <si>
    <t>LTR_OP</t>
  </si>
  <si>
    <t>RightTrackDivert_OP</t>
  </si>
  <si>
    <t>RTF_OP</t>
  </si>
  <si>
    <t>RTR_OP</t>
  </si>
  <si>
    <t>DrumOnOff_OP</t>
  </si>
  <si>
    <t>FeederOnOff_OP</t>
  </si>
  <si>
    <t>ECUenable</t>
  </si>
  <si>
    <t>PWM_CUR</t>
  </si>
  <si>
    <t>SUPPLY_GROUP0</t>
  </si>
  <si>
    <t>SUPPLY_GROUP1</t>
  </si>
  <si>
    <t>SUPPLY_GROUP2</t>
  </si>
  <si>
    <t>NVL_UDP_RX.App_Settings.TailConvSpd_Min_mA</t>
  </si>
  <si>
    <t>NVL_UDP_RX.App_Settings.TailConvSpd_Max_mA</t>
  </si>
  <si>
    <t>NVL_UDP_RX.App_Settings.SideTransferConvSpd_Min_mA</t>
  </si>
  <si>
    <t>NVL_UDP_RX.App_Settings.SideTransferConvSpd_Max_mA</t>
  </si>
  <si>
    <t>NVL_UDP_RX.App_Settings.DrumSpd_Min_mA</t>
  </si>
  <si>
    <t>NVL_UDP_RX.App_Settings.CollectConvSpd_Min_mA</t>
  </si>
  <si>
    <t>NVL_UDP_RX.App_Settings.CollectConvSpd_Max_mA</t>
  </si>
  <si>
    <t>NVL_UDP_RX.App_Settings.DrumSpd_Max_mA</t>
  </si>
  <si>
    <t>NVL_UDP_RX.App_Settings.FeederSpd_Min_mA</t>
  </si>
  <si>
    <t>NVL_UDP_RX.App_Settings.FeederSpd_Max_mA</t>
  </si>
  <si>
    <t>NVL_UDP_RX.App_Settings.EnableDrumPressCutOut</t>
  </si>
  <si>
    <t>NVL_UDP_RX.App_Settings.DrumPressHiHi_SP_bar</t>
  </si>
  <si>
    <t>NVL_UDP_RX.App_Settings.DrumPressReset_SP_bar</t>
  </si>
  <si>
    <t>NVL_UDP_RX.App_Settings.DrumPressHi_SP_bar</t>
  </si>
  <si>
    <t>Scale fuel sender for Diag</t>
  </si>
  <si>
    <t>Scale pressure sensor for Diag</t>
  </si>
  <si>
    <t>Siren/Beacon Blip for Alarm</t>
  </si>
  <si>
    <t>Check DM1 decoding</t>
  </si>
  <si>
    <t>DM1 text list? (SPN)</t>
  </si>
  <si>
    <t>consolidate radio program</t>
  </si>
  <si>
    <t>consolidate all to the HMI</t>
  </si>
  <si>
    <t>NVL_UDP_TX.App_Settings.CollectConvSpd_Percent</t>
  </si>
  <si>
    <t>NVL_UDP_TX.App_Settings.SideTransferConvSpd_Percent</t>
  </si>
  <si>
    <t>NVL_UDP_TX.App_Settings.SideConvSpd_Percent</t>
  </si>
  <si>
    <t>NVL_UDP_TX.App_Settings.TailConvSpd_Percent</t>
  </si>
  <si>
    <t>NVL_UDP_TX.App_Settings.FeederSpd_Percent</t>
  </si>
  <si>
    <t>NVL_UDP_TX.App_Settings.DrumSpd_Percent</t>
  </si>
  <si>
    <t>Move DM1 to the screen</t>
  </si>
  <si>
    <t>J1939 Task</t>
  </si>
  <si>
    <t>INPUTS</t>
  </si>
  <si>
    <t>pressure transduscer test all the way through</t>
  </si>
  <si>
    <t>check the diagnostics on the analog inputs</t>
  </si>
  <si>
    <t>check the estop button feeback on each screen</t>
  </si>
  <si>
    <t>CR0403 Inputs</t>
  </si>
  <si>
    <t>OUTPUTS</t>
  </si>
  <si>
    <t>POWER UP</t>
  </si>
  <si>
    <t>DM1</t>
  </si>
  <si>
    <t>J1939</t>
  </si>
  <si>
    <t>EDS for the Engine</t>
  </si>
  <si>
    <t>SETTINGS</t>
  </si>
  <si>
    <t>mode to bypass engine started for manual testing (resets on power up)</t>
  </si>
  <si>
    <t>MIMICS</t>
  </si>
  <si>
    <t>main mimic graphic switching between models</t>
  </si>
  <si>
    <t>side conveyor graphic not good</t>
  </si>
  <si>
    <t>MACHINE_APP</t>
  </si>
  <si>
    <t>TRACKS</t>
  </si>
  <si>
    <t>Umbilical Stop - does it do much? Is it the estop feedback from teleradio?</t>
  </si>
  <si>
    <t>Fuel Sender - scale for diagnostics</t>
  </si>
  <si>
    <t>Drum Pressure - scale</t>
  </si>
  <si>
    <t>PINCODE</t>
  </si>
  <si>
    <t>4 digits message instead of 6</t>
  </si>
  <si>
    <t>UDP</t>
  </si>
  <si>
    <t>PLC warning and error timeouts</t>
  </si>
  <si>
    <t>machine mimic psi or bar?</t>
  </si>
  <si>
    <t>HYD_SETUP</t>
  </si>
  <si>
    <t>radio stop pressed - engine still runs</t>
  </si>
  <si>
    <t>RADIO</t>
  </si>
  <si>
    <t>DM1 's not added to the fault logger</t>
  </si>
  <si>
    <t>FAULTS</t>
  </si>
  <si>
    <t>ECU</t>
  </si>
  <si>
    <t>oil pressure not showing</t>
  </si>
  <si>
    <t>DONE</t>
  </si>
  <si>
    <t>SKIP</t>
  </si>
  <si>
    <t>very slow interlock on jacks/side - long delay?</t>
  </si>
  <si>
    <t>NAV</t>
  </si>
  <si>
    <t>IO first page entry index issue</t>
  </si>
  <si>
    <t>engine first page entry index issue</t>
  </si>
  <si>
    <t>left / right arrows</t>
  </si>
  <si>
    <t>VIZ</t>
  </si>
  <si>
    <t>chassis plc name clipped in PLC_Status</t>
  </si>
  <si>
    <t>KEYSWITCH_CRANKING</t>
  </si>
  <si>
    <t>STATUS</t>
  </si>
  <si>
    <t>SECTION</t>
  </si>
  <si>
    <t>ITEM</t>
  </si>
  <si>
    <t>AUX</t>
  </si>
  <si>
    <t>CR0403</t>
  </si>
  <si>
    <t>OP0</t>
  </si>
  <si>
    <t>SIREN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</si>
  <si>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</si>
  <si>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</si>
  <si>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</si>
  <si>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</si>
  <si>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</si>
  <si>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</si>
  <si>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</si>
  <si>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</si>
  <si>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</si>
  <si>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OP10</t>
  </si>
  <si>
    <t>OP11</t>
  </si>
  <si>
    <t>DIVERT_VALVE</t>
  </si>
  <si>
    <t>FAN_FORWARD</t>
  </si>
  <si>
    <t>FAN_REVERSE</t>
  </si>
  <si>
    <t>CR0403 8 outputs</t>
  </si>
  <si>
    <t>check for disconencted valves?</t>
  </si>
  <si>
    <t>Check HMI offline during tracking</t>
  </si>
  <si>
    <t>not possible on the remote - cannot see the buttons!</t>
  </si>
  <si>
    <t>HANDSET Check for stuck signals on power up (directions / req / stop)</t>
  </si>
  <si>
    <t>RADIO Check direction buttons not active during presiren</t>
  </si>
  <si>
    <t>Interlock in PLC with the Siren Output?</t>
  </si>
  <si>
    <t>PLC_OUTPUTS</t>
  </si>
  <si>
    <t>IF no coms or estop - ECU is disabled - is this enough?</t>
  </si>
  <si>
    <t>critical signal was not working due to the ECUDISABLE inversion</t>
  </si>
  <si>
    <t>Network Page needs more info!</t>
  </si>
  <si>
    <t>AUX_PLC</t>
  </si>
  <si>
    <t>Really a CR0401 - don't see any message to say it is on line like RX200..</t>
  </si>
  <si>
    <t>see if we can get software of conrad to can check if connected</t>
  </si>
  <si>
    <t>RTC</t>
  </si>
  <si>
    <t>USA date format option</t>
  </si>
  <si>
    <t>Settings_2 - can only edit the top row</t>
  </si>
  <si>
    <t>login in as tech - on first settings page</t>
  </si>
  <si>
    <t>review these settings</t>
  </si>
  <si>
    <t>indication that setup mode is on / starting in the footer</t>
  </si>
  <si>
    <t>Symbol on the footer for PreSiren and Active Tracks</t>
  </si>
  <si>
    <t>Comments</t>
  </si>
  <si>
    <t>ESTOP</t>
  </si>
  <si>
    <t>SECUIRTY</t>
  </si>
  <si>
    <t>Hide the Entered PIN code!</t>
  </si>
  <si>
    <t>Settings_3 - can only edit the top row</t>
  </si>
  <si>
    <t>FAN</t>
  </si>
  <si>
    <t>FAN control needs checked</t>
  </si>
  <si>
    <t>check the pressure sensor scaling!</t>
  </si>
  <si>
    <t>Max pressure setting for the Drum - needs to be a persistant?</t>
  </si>
  <si>
    <t>DRUM</t>
  </si>
  <si>
    <t xml:space="preserve">Min Gaps between the settings for drum pressure </t>
  </si>
  <si>
    <t>header symbol invert - visible when active</t>
  </si>
  <si>
    <t>Flash Header Symbol if it Blipped</t>
  </si>
  <si>
    <t>FUTURE</t>
  </si>
  <si>
    <t>Text for Now - does it really need a tracking Page?</t>
  </si>
  <si>
    <t>FAN control - needs settings?</t>
  </si>
  <si>
    <t>Min reset drum pressure sensor value to be hard coded</t>
  </si>
  <si>
    <t>Button LED's!</t>
  </si>
  <si>
    <t>IN0102 needs Text in the list for HMI!</t>
  </si>
  <si>
    <t>DIAG</t>
  </si>
  <si>
    <t>KEYPAD</t>
  </si>
  <si>
    <t>is all in psi - needs checked! (250bar / 3625psi)</t>
  </si>
  <si>
    <t>Auto Shutdown - slows engine down first?</t>
  </si>
  <si>
    <t>ask mark - material on conveyor - moves very slow!</t>
  </si>
  <si>
    <t>APP</t>
  </si>
  <si>
    <t>Numeric Key Pad - Max text clipping the max value</t>
  </si>
  <si>
    <t>Name in the Dialog box mising for each edit</t>
  </si>
  <si>
    <t>way to backup the factory settings</t>
  </si>
  <si>
    <t>ENGINE</t>
  </si>
  <si>
    <t>DM1 Clear function</t>
  </si>
  <si>
    <t>SETTINGS_1</t>
  </si>
  <si>
    <t>Regen Check - Regen Inhibit not being driven?</t>
  </si>
  <si>
    <t xml:space="preserve">Standstill_RegenRelease - check working with blue dot for </t>
  </si>
  <si>
    <t>feedback of the mA for each function on the main screen / percentage?</t>
  </si>
  <si>
    <t>mA and % if in engineering mode? Or maybe the settings page</t>
  </si>
  <si>
    <t>Knob white/green on the footer - setup mode flash in mimic</t>
  </si>
  <si>
    <t>Access to the min/max Valve mA settings,</t>
  </si>
  <si>
    <t>Access to the min/max Valve mA settings</t>
  </si>
  <si>
    <t>Factory level only</t>
  </si>
  <si>
    <t>Fixed seconds 1200 / 10 / 10 /10 settings</t>
  </si>
  <si>
    <t>YES</t>
  </si>
  <si>
    <t>STAT_INACTIVE</t>
  </si>
  <si>
    <t>STAT_DONE</t>
  </si>
  <si>
    <t>STAT_BUSY</t>
  </si>
  <si>
    <t>STAT_PREPARING</t>
  </si>
  <si>
    <t>STAT_READY</t>
  </si>
  <si>
    <t>STAT_RESET</t>
  </si>
  <si>
    <t>STAT_ABORTED</t>
  </si>
  <si>
    <t>RESERVED_07</t>
  </si>
  <si>
    <t>RESERVED_08</t>
  </si>
  <si>
    <t>RESERVED_09</t>
  </si>
  <si>
    <t>ERR_OPEN_CIRCUIT</t>
  </si>
  <si>
    <t>ERR_SHORT_CIRCUIT</t>
  </si>
  <si>
    <t>ERR_OVERLOAD_CURRENT</t>
  </si>
  <si>
    <t>ERR_LOW_CURRENT</t>
  </si>
  <si>
    <t>ERR_UNDERVOLTAGE_VBBX</t>
  </si>
  <si>
    <t>ERR_OVERVOLTAGE_VBBX</t>
  </si>
  <si>
    <t>ERR_STUCK_AT_HIGH</t>
  </si>
  <si>
    <t>ERR_STUCK_AT_LOW</t>
  </si>
  <si>
    <t>ERR_HIGH_TEMPERATURE</t>
  </si>
  <si>
    <t>ERR_LOW_TEMPERATURE</t>
  </si>
  <si>
    <t>ERR_INVALID_VALUE</t>
  </si>
  <si>
    <t>ERR_INVALID_CHANNEL</t>
  </si>
  <si>
    <t>ERR_INVALID_MODE</t>
  </si>
  <si>
    <t>ERR_INVALID_FREQUENCY</t>
  </si>
  <si>
    <t>ERR_INVALID_DITHER</t>
  </si>
  <si>
    <t>ERR_INVALID_FILTER</t>
  </si>
  <si>
    <t>ERR_UNREACHABLE_CURRENT</t>
  </si>
  <si>
    <t>ERR_SLOW_SIGNAL</t>
  </si>
  <si>
    <t>ERR_CHANGEOVER_TIME</t>
  </si>
  <si>
    <t>ERR_INSTANCE</t>
  </si>
  <si>
    <t>ERR_INSTANCE_LIMIT</t>
  </si>
  <si>
    <t>ERR_INVALID_COLOUR</t>
  </si>
  <si>
    <t>ERR_NO_IDENTITY</t>
  </si>
  <si>
    <t>ERR_ACCESS</t>
  </si>
  <si>
    <t>ERR_UNDEFINED</t>
  </si>
  <si>
    <t>ERR_FUNC_KEY_MISSED</t>
  </si>
  <si>
    <t>ERR_BUFFER_OVERFLOW</t>
  </si>
  <si>
    <t>ERR_BAUDRATE_ALREADY_SET</t>
  </si>
  <si>
    <t>ERR_INACTIVE_INTERFACE</t>
  </si>
  <si>
    <t>ERR_TIMEOUT</t>
  </si>
  <si>
    <t>ERR_OUT_OF_MEMORY</t>
  </si>
  <si>
    <t>ERR_BUS_OFF</t>
  </si>
  <si>
    <t>ERR_BAD_CRC</t>
  </si>
  <si>
    <t>ERR_EXCEEDED_RANGE</t>
  </si>
  <si>
    <t>ERR_INTERNAL_COMMUNICATION</t>
  </si>
  <si>
    <t>ERR_NOT_SUPPORTED</t>
  </si>
  <si>
    <t>ERR_TIMING</t>
  </si>
  <si>
    <t>ERR_INTERNAL</t>
  </si>
  <si>
    <t>ERR_FILE_SYSTEM</t>
  </si>
  <si>
    <t>ERR_INVALID_IP_CFG</t>
  </si>
  <si>
    <t>ERR_FAILED_ERR_RESET</t>
  </si>
  <si>
    <t>ERR_DEVICE_NOT_AVAILABLE</t>
  </si>
  <si>
    <t>ERR_NO_OBJECT</t>
  </si>
  <si>
    <t>ERR_UNREACHABLE_VOLTAGE</t>
  </si>
  <si>
    <t>ERR_AT_GROUP_OUTPUT</t>
  </si>
  <si>
    <t>ERR_CONTROL_DITHER</t>
  </si>
  <si>
    <t>ERR_UNDERVOLTAGE_VBBX_WARNING</t>
  </si>
  <si>
    <t>ERR_OVERVOLTAGE_VBBX_WARNING</t>
  </si>
  <si>
    <t>ERR_LOW_TEMPERATURE_WARNING</t>
  </si>
  <si>
    <t>ERR_HIGH_TEMPERATURE_WARNING</t>
  </si>
  <si>
    <t>ERR_RANGE_OVERRUN</t>
  </si>
  <si>
    <t>ERR_RANGE_UNDERRUN</t>
  </si>
  <si>
    <t>DIAG_INVALID_VALUE</t>
  </si>
  <si>
    <t>DIAG_INTERNAL</t>
  </si>
  <si>
    <t>DIAG_OPEN_CIRCUIT</t>
  </si>
  <si>
    <t>DIAG_SHORT_CIRCUIT</t>
  </si>
  <si>
    <t>DIAG_UNDERVOLTAGE_VBBX</t>
  </si>
  <si>
    <t>DIAG_OVERVOLTAGE_VBBX</t>
  </si>
  <si>
    <t>DIAG_OVERLOAD_CURRENT</t>
  </si>
  <si>
    <t>DIAG_STUCK_AT</t>
  </si>
  <si>
    <t>DIAG_STUCK_AT_HIGH</t>
  </si>
  <si>
    <t>DIAG_STUCK_AT_LOW</t>
  </si>
  <si>
    <t>DIAG_INVALID_COLOUR</t>
  </si>
  <si>
    <t>DIAG_OVERVOLTAGE</t>
  </si>
  <si>
    <t>DIAG_UNDERVOLTAGE</t>
  </si>
  <si>
    <t>DIAG_NO_CALIB</t>
  </si>
  <si>
    <t>DIAG_ACCESS</t>
  </si>
  <si>
    <t>DIAG_CHANGEOVER_TIME</t>
  </si>
  <si>
    <t>ERR_OVERVOLTAGE</t>
  </si>
  <si>
    <t>ERR_UNDERVOLTAGE</t>
  </si>
  <si>
    <t>ERR_STUCK_AT</t>
  </si>
  <si>
    <t>DIAG_CONTROL_DITHER</t>
  </si>
  <si>
    <t>DIAG_SLOW_SIGNAL</t>
  </si>
  <si>
    <t>DIAG_DIAG_PRO_MODE</t>
  </si>
  <si>
    <t>DIAG_WINDOW</t>
  </si>
  <si>
    <t>ERR_SDO_IDX_NOT_EXIST</t>
  </si>
  <si>
    <t>ERR_SDO_SUBIDX_NOT_EXIST</t>
  </si>
  <si>
    <t>ERR_SDO_UNSUPPORTED_ACCESS</t>
  </si>
  <si>
    <t>ERR_SDO_DATA_TYPE</t>
  </si>
  <si>
    <t>DIAG_LOW_TEMPERATURE</t>
  </si>
  <si>
    <t>DIAG_HIGH_TEMPERATURE</t>
  </si>
  <si>
    <t>DIAG_INVALID_DITHER</t>
  </si>
  <si>
    <t>DIAG_INVALID_FREQUENCY</t>
  </si>
  <si>
    <t>DIAG_RANGE_OVERRUN</t>
  </si>
  <si>
    <t>DIAG_RANGE_UNDERRUN</t>
  </si>
  <si>
    <t>DIAG_INVALID_FILTER</t>
  </si>
  <si>
    <t>ERR_COMPARE_MISMATCH</t>
  </si>
  <si>
    <t>DIAG_INVALID_IP_CFG</t>
  </si>
  <si>
    <t>DIAG_LOW_CURRENT</t>
  </si>
  <si>
    <t>DIAG_AT_GROUP_OUTPUT</t>
  </si>
  <si>
    <t>ERR_SDO_UNKNOWN</t>
  </si>
  <si>
    <t>ERR_BAUDRATE_INVALID_OR_ALREADY_SET</t>
  </si>
  <si>
    <t>DIAG_COMPARE_MISMATCH</t>
  </si>
  <si>
    <t>DIAG_COMPARE_MISMATCH_VSYS</t>
  </si>
  <si>
    <t>DIAG_GROUP_OVERLOAD_CURRENT</t>
  </si>
  <si>
    <t>ERR_GROUP_OVERLOAD_CURRENT</t>
  </si>
  <si>
    <t>STAT_PAUSED</t>
  </si>
  <si>
    <t>STAT_ABORT</t>
  </si>
  <si>
    <t>STAT_EVNT_OPEN_PLUG_STORAGE</t>
  </si>
  <si>
    <t>STAT_EVNT_OPEN_UNPLUG_STORAGE</t>
  </si>
  <si>
    <t>STAT_EVNT_OPEN_DONE</t>
  </si>
  <si>
    <t>STAT_EVNT_REGI_PLUG_STORAGE</t>
  </si>
  <si>
    <t>STAT_EVNT_REGI_UNPLUG_STORAGE</t>
  </si>
  <si>
    <t>STAT_EVNT_REGI_DONE</t>
  </si>
  <si>
    <t>STAT_EVNT_UNREGI</t>
  </si>
  <si>
    <t>STAT_EVNT_UNREGI_DONE</t>
  </si>
  <si>
    <t>STAT_EVNT_CLOSE</t>
  </si>
  <si>
    <t>STAT_EVNT_CLOSE_DONE</t>
  </si>
  <si>
    <t>ERR_INSTANCE_RESTRICTION</t>
  </si>
  <si>
    <t>ERR_NO_FILE</t>
  </si>
  <si>
    <t>ERR_EVNT_OPEN</t>
  </si>
  <si>
    <t>ERR_EVNT_REGI</t>
  </si>
  <si>
    <t>ERR_EVNT_UNREGI</t>
  </si>
  <si>
    <t>ERR_EVNT_CLOSE</t>
  </si>
  <si>
    <t>ERR_GET_STORAGE_LIST</t>
  </si>
  <si>
    <t>ERR_UNPLUG_STORAGE</t>
  </si>
  <si>
    <t>DIAG_INVALID_CHANNEL</t>
  </si>
  <si>
    <t>DIAG_INVALID_MODE</t>
  </si>
  <si>
    <t>ERR_H_BRIDGE_TEST</t>
  </si>
  <si>
    <t>ERR_GROUP_SW_TEST</t>
  </si>
  <si>
    <t>ERR_TX_ERROR</t>
  </si>
  <si>
    <t>ERR_RX_ERROR</t>
  </si>
  <si>
    <t>DIAG_PHASE_MISSING_B</t>
  </si>
  <si>
    <t>DIAG_PHASE_TOO_MANY_B</t>
  </si>
  <si>
    <t>Auto Start - ramps engine at the end?</t>
  </si>
  <si>
    <t>NETWORK</t>
  </si>
  <si>
    <t>HMI program reset if the coms goes down</t>
  </si>
  <si>
    <t>via critical shutdown signal</t>
  </si>
  <si>
    <t>Check Tracks request is on to allow outputs to work</t>
  </si>
  <si>
    <t>Radial_RightLimitSwitch</t>
  </si>
  <si>
    <t>Radial_LeftLimitSwitch</t>
  </si>
  <si>
    <t>MachineMode</t>
  </si>
  <si>
    <t>SideConvRaise_RadialMoveLeft</t>
  </si>
  <si>
    <t>SideConvLower_RadialMoveRight</t>
  </si>
  <si>
    <t>Show door status on the main page</t>
  </si>
  <si>
    <t>SIDE_CONV_RAISE_RADIAL_LEFT</t>
  </si>
  <si>
    <t>SIDE_CONV_LOWER_RADIAL_RIGHT</t>
  </si>
  <si>
    <t>MAIN_MIMIC</t>
  </si>
  <si>
    <t>RADIAL_MODE</t>
  </si>
  <si>
    <t>Starting tracks stops auto radial mode?</t>
  </si>
  <si>
    <t>Reset the radial timeout if mode changed?</t>
  </si>
  <si>
    <t>MANUAL MODE</t>
  </si>
  <si>
    <t>standard 3/2 need to be swapped on the main mimic</t>
  </si>
  <si>
    <t>radial 2 + 3 disappear as not present!</t>
  </si>
  <si>
    <t>Radial 1 = tail</t>
  </si>
  <si>
    <t>Radial 2 = stockpile</t>
  </si>
  <si>
    <t>Radial 4 = under collection + stockpile swivel  feed conveyor</t>
  </si>
  <si>
    <t>Radial 6 = feeder</t>
  </si>
  <si>
    <t>same</t>
  </si>
  <si>
    <t>Radial 5 drum</t>
  </si>
  <si>
    <t>Radial 3 - not present</t>
  </si>
  <si>
    <t>simailar to side conveyor interlocked with tail!</t>
  </si>
  <si>
    <t>check all the system shutodwns!</t>
  </si>
  <si>
    <t>feed alarms into fault logger and show active on a single page</t>
  </si>
  <si>
    <t>Starting tracks stops auto mode?</t>
  </si>
  <si>
    <t>radio mode stops when tracking started? Tracks has priority - would be better if we had the normal buttons through radio!</t>
  </si>
  <si>
    <t>ALARMS</t>
  </si>
  <si>
    <t>is this allowed from the remote? Digger operator wants to move machine with getting out? Will this work on the radial?</t>
  </si>
  <si>
    <t>Timeout on the tracks enable</t>
  </si>
  <si>
    <t>tracks started but not used?</t>
  </si>
  <si>
    <t>Radial drum</t>
  </si>
  <si>
    <t>Radial under collection + stockpile swivel  feed conveyor</t>
  </si>
  <si>
    <t>Radial stockpile</t>
  </si>
  <si>
    <t>Radial tail</t>
  </si>
  <si>
    <t>Radial feeder</t>
  </si>
  <si>
    <t>Radial mode - swap buttons 2+3</t>
  </si>
  <si>
    <t>FAN Settings on Screen - add the counters to the screen</t>
  </si>
  <si>
    <t>engine load not on screen</t>
  </si>
  <si>
    <t>CAT - dbs file and feedback for the regen</t>
  </si>
  <si>
    <t>Engine Ramp Up Speed 0 add setting</t>
  </si>
  <si>
    <t>reverse the image from the CAD guys?</t>
  </si>
  <si>
    <t>check the old code? - Feedback is just off the button!</t>
  </si>
  <si>
    <t>check with the new libs + dbc file</t>
  </si>
  <si>
    <t>Cannot stop unless machine shut down?</t>
  </si>
  <si>
    <t>ENGINE_SCREEN</t>
  </si>
  <si>
    <t>TSC1</t>
  </si>
  <si>
    <t>CM2</t>
  </si>
  <si>
    <t>CM1</t>
  </si>
  <si>
    <t>F004</t>
  </si>
  <si>
    <t>FEEE</t>
  </si>
  <si>
    <t>FEEF</t>
  </si>
  <si>
    <t>FECA</t>
  </si>
  <si>
    <t>FEE5</t>
  </si>
  <si>
    <t>FD7C</t>
  </si>
  <si>
    <t>ENGINE TEMPERATURE 1</t>
  </si>
  <si>
    <t>PGN HEX</t>
  </si>
  <si>
    <t>PGN Dec</t>
  </si>
  <si>
    <t>ENGINE FLUID LEVEL PRESSURE 1</t>
  </si>
  <si>
    <t>Active Diagnostic Trouble Codes</t>
  </si>
  <si>
    <t>ENGINE HOURS</t>
  </si>
  <si>
    <t>DM2</t>
  </si>
  <si>
    <t>FECB</t>
  </si>
  <si>
    <t>DPFC1</t>
  </si>
  <si>
    <t>DIESEL PARTICULATE FILTER CONTROL 1</t>
  </si>
  <si>
    <t>RESET</t>
  </si>
  <si>
    <t>Engine Ignition Control Maintenance Hours Reset</t>
  </si>
  <si>
    <t>DE00</t>
  </si>
  <si>
    <t>RX</t>
  </si>
  <si>
    <t>TX</t>
  </si>
  <si>
    <t>EEC1</t>
  </si>
  <si>
    <t>ELECTRONIC ENGINE CONTROLLER 1</t>
  </si>
  <si>
    <t>ELECTRONIC ENGINE CONTROLLER 3</t>
  </si>
  <si>
    <t>EEC3</t>
  </si>
  <si>
    <t>FEDF</t>
  </si>
  <si>
    <t>ET1</t>
  </si>
  <si>
    <t>FLUID</t>
  </si>
  <si>
    <t>HOURS</t>
  </si>
  <si>
    <t>LFC</t>
  </si>
  <si>
    <t>FEE9</t>
  </si>
  <si>
    <t>FUEL ECONOMY</t>
  </si>
  <si>
    <t>FUEL CONSUMPTION</t>
  </si>
  <si>
    <t>LIQUID</t>
  </si>
  <si>
    <t>FEF2</t>
  </si>
  <si>
    <t>On Req</t>
  </si>
  <si>
    <t>AMBIENT CONDITIONS</t>
  </si>
  <si>
    <t>FEF5</t>
  </si>
  <si>
    <t>INTAKE/EXHAUST CONDITIONS 1</t>
  </si>
  <si>
    <t>FEF6</t>
  </si>
  <si>
    <t>AFTERTREATMENT 1 INTAKE GAS 2</t>
  </si>
  <si>
    <t>FDB4</t>
  </si>
  <si>
    <t>ENGINE FLUID LEVEL/PRESSURE 2</t>
  </si>
  <si>
    <t>FEDB</t>
  </si>
  <si>
    <t>AFTERTREATMENT 1 DIESEL EXHAUST FLUID TANK 1 INFORMATION</t>
  </si>
  <si>
    <t>FE56</t>
  </si>
  <si>
    <t>Engine Charge Air Cooler 1 Outlet Temperature</t>
  </si>
  <si>
    <t>Aftertreatment 1 SCR System State</t>
  </si>
  <si>
    <t>F023</t>
  </si>
  <si>
    <t>FE6A</t>
  </si>
  <si>
    <t>AFTERTREATMENT 1 SCR EXHAUST GAS TEMPERATURE 1</t>
  </si>
  <si>
    <t>FD3E</t>
  </si>
  <si>
    <t>VEHICLE ELECTRICAL POWER 1</t>
  </si>
  <si>
    <t>FEF7</t>
  </si>
  <si>
    <t>VEP1</t>
  </si>
  <si>
    <t>IC</t>
  </si>
  <si>
    <t>AMB</t>
  </si>
  <si>
    <t>E000</t>
  </si>
  <si>
    <t>Cab Message 1 (Aftertreatment Regeneration Inhibit Switch)</t>
  </si>
  <si>
    <t>Throttle Speed Command Message 1</t>
  </si>
  <si>
    <t>CAB Message 2</t>
  </si>
  <si>
    <t>AT1IG2</t>
  </si>
  <si>
    <t>https://www.isobus.net/isobus/pGNAndSPN/index?PGNAndSPN_page=3</t>
  </si>
  <si>
    <t>AT1T1I1</t>
  </si>
  <si>
    <t>EFS</t>
  </si>
  <si>
    <t>ENGINE FUEL/LUBE SYSTEMS</t>
  </si>
  <si>
    <t>A1SCRDSI1</t>
  </si>
  <si>
    <t>ET3</t>
  </si>
  <si>
    <t>A1SCREGT1</t>
  </si>
  <si>
    <t>SAE NAME</t>
  </si>
  <si>
    <t>PGN Group</t>
  </si>
  <si>
    <t>ELECTRONIC ENGINE CONTROLLER 5</t>
  </si>
  <si>
    <t>EEC5</t>
  </si>
  <si>
    <t>FDD5</t>
  </si>
  <si>
    <t>FD20</t>
  </si>
  <si>
    <t>AFTERTREATMENT 1 DIESEL OXIDATION CATALYST</t>
  </si>
  <si>
    <t>A1DOC</t>
  </si>
  <si>
    <t>TURBOCHARGER WASTEGATE</t>
  </si>
  <si>
    <t>TCW</t>
  </si>
  <si>
    <t>FC31</t>
  </si>
  <si>
    <t>OPERATOR INDICATORS</t>
  </si>
  <si>
    <t>FEFF</t>
  </si>
  <si>
    <t>OI</t>
  </si>
  <si>
    <t>ELECTRONIC ENGINE CONTROLLER 2</t>
  </si>
  <si>
    <t>EEC2</t>
  </si>
  <si>
    <t>F003</t>
  </si>
  <si>
    <t>DIRECT LAMP CONTROL COMMAND 1</t>
  </si>
  <si>
    <t>DLCC1</t>
  </si>
  <si>
    <t>FD07</t>
  </si>
  <si>
    <t>Direct Lamp Control Data 1</t>
  </si>
  <si>
    <t>DLCD1#</t>
  </si>
  <si>
    <t>FD05</t>
  </si>
  <si>
    <t>SOFTWARE IDENTIFICATION</t>
  </si>
  <si>
    <t>FEDA</t>
  </si>
  <si>
    <t>SOFT</t>
  </si>
  <si>
    <t>COMPONENT IDENTIFICATION</t>
  </si>
  <si>
    <t>FEEB</t>
  </si>
  <si>
    <t>CI</t>
  </si>
  <si>
    <t>EFL_P2</t>
  </si>
  <si>
    <t>EngRqedSpeedCtrlConditions</t>
  </si>
  <si>
    <t>EngOverrideCtrlMode</t>
  </si>
  <si>
    <t>OverrideCtrlModePriority</t>
  </si>
  <si>
    <t>EngRqedSpeed_SpeedLimit</t>
  </si>
  <si>
    <t>EngRqedTorque_TorqueLimit</t>
  </si>
  <si>
    <t>TransmissionRate</t>
  </si>
  <si>
    <t>ControlPurpose</t>
  </si>
  <si>
    <t>EngineRequestedTorqueHiRes</t>
  </si>
  <si>
    <t>MessageCounter</t>
  </si>
  <si>
    <t>MessageChecksum</t>
  </si>
  <si>
    <t>USINT</t>
  </si>
  <si>
    <t>REAL</t>
  </si>
  <si>
    <t>INT</t>
  </si>
  <si>
    <t>EngTorqueMode</t>
  </si>
  <si>
    <t>ActlEngPrcntTrqueHighResolution</t>
  </si>
  <si>
    <t>DriversDemandEngPercentTorque</t>
  </si>
  <si>
    <t>ActualEngPercentTorque</t>
  </si>
  <si>
    <t>EngSpeed</t>
  </si>
  <si>
    <t>SrcAddrssOfCtrllngDvcFrEngCntrl</t>
  </si>
  <si>
    <t>EngStarterMode</t>
  </si>
  <si>
    <t>EngDemandPercentTorque</t>
  </si>
  <si>
    <t>ProtectLampStatus</t>
  </si>
  <si>
    <t>AmberWarningLampStatus</t>
  </si>
  <si>
    <t>RedStopLampState</t>
  </si>
  <si>
    <t>MalfunctionIndicatorLampStatus</t>
  </si>
  <si>
    <t>FlashRedStopLamp</t>
  </si>
  <si>
    <t>FlashMalfuncIndicatorLamp</t>
  </si>
  <si>
    <t>DTC1</t>
  </si>
  <si>
    <t>DTC2</t>
  </si>
  <si>
    <t>DTC3</t>
  </si>
  <si>
    <t>DTC4</t>
  </si>
  <si>
    <t>DTC5</t>
  </si>
  <si>
    <t>UDINT</t>
  </si>
  <si>
    <t>AccelPedal1LowIdleSwitch</t>
  </si>
  <si>
    <t>AccelPedalKickdownSwitch</t>
  </si>
  <si>
    <t>RoadSpeedLimitStatus</t>
  </si>
  <si>
    <t>AccelPedal2LowIdleSwitch</t>
  </si>
  <si>
    <t>AccelPedalPos1</t>
  </si>
  <si>
    <t>EngPercentLoadAtCurrentSpeed</t>
  </si>
  <si>
    <t>RemoteAccelPedalPos</t>
  </si>
  <si>
    <t>AccelPedalPos2</t>
  </si>
  <si>
    <t>VhclAccelerationRateLimitStatus</t>
  </si>
  <si>
    <t>MmntryEngMaxPowerEnableFeedback</t>
  </si>
  <si>
    <t>DPFThermalManagementActive</t>
  </si>
  <si>
    <t>SCRThermalManagementActive</t>
  </si>
  <si>
    <t>ActlMxAvailableEngPercentTorque</t>
  </si>
  <si>
    <t>EstPumpingPercentTorque</t>
  </si>
  <si>
    <t>NominalFrictionPercentTorque</t>
  </si>
  <si>
    <t>EngsDesiredOperatingSpeed</t>
  </si>
  <si>
    <t>EngsDsrdOprtngSpdAsymmtryAdjstmn</t>
  </si>
  <si>
    <t>EstEngPrsticLossesPercentTorque</t>
  </si>
  <si>
    <t>Aftrtratment1ExhaustGasMassFlow</t>
  </si>
  <si>
    <t>Aftertreatment1IntakeDewPoint</t>
  </si>
  <si>
    <t>Aftertreatment1ExhaustDewPoint</t>
  </si>
  <si>
    <t>Aftertreatment2IntakeDewPoint</t>
  </si>
  <si>
    <t>Aftertreatment2ExhaustDewPoint</t>
  </si>
  <si>
    <t>REAl</t>
  </si>
  <si>
    <t>EngTrb1ClcltedTurbineIntakeTemp</t>
  </si>
  <si>
    <t>EngTrb1ClcltedTurbineOutletTemp</t>
  </si>
  <si>
    <t>EngExhstGsRcrculation1ValveCtrl</t>
  </si>
  <si>
    <t>EngVrblGmtryTrbArCtrlShtffValve</t>
  </si>
  <si>
    <t>EngVrableGeometryTurbo1CtrlMode</t>
  </si>
  <si>
    <t>EngVrblGometryTurbo1ActuatorPos</t>
  </si>
  <si>
    <t>EngCoolantTemp</t>
  </si>
  <si>
    <t>EngFuelTemp1</t>
  </si>
  <si>
    <t>EngOilTemp1</t>
  </si>
  <si>
    <t>EngTurboOilTemp</t>
  </si>
  <si>
    <t>EngIntercoolerTemp</t>
  </si>
  <si>
    <t>EngIntercoolerThermostatOpening</t>
  </si>
  <si>
    <t>EngFuelDeliveryPress</t>
  </si>
  <si>
    <t>EngExCrankcaseBlowbyPress</t>
  </si>
  <si>
    <t>EngOilLevel</t>
  </si>
  <si>
    <t>EngOilPress</t>
  </si>
  <si>
    <t>EngCrankcasePress</t>
  </si>
  <si>
    <t>EngCoolantPress</t>
  </si>
  <si>
    <t>EngCoolantLevel</t>
  </si>
  <si>
    <t>UINT</t>
  </si>
  <si>
    <t>EFL_P1</t>
  </si>
  <si>
    <t>EngInjectionCtrlPress</t>
  </si>
  <si>
    <t>EngInjectorMeteringRail1Press</t>
  </si>
  <si>
    <t>EngInjectorTimingRail1Press</t>
  </si>
  <si>
    <t>EngInjectorMeteringRail2Press</t>
  </si>
  <si>
    <t>LREAL</t>
  </si>
  <si>
    <t>EngTripFuel</t>
  </si>
  <si>
    <t>EngTotalFuelUsed</t>
  </si>
  <si>
    <t>BarometricPress</t>
  </si>
  <si>
    <t>CabInteriorTemp</t>
  </si>
  <si>
    <t>AmbientAirTemp</t>
  </si>
  <si>
    <t>EngAirIntakeTemp</t>
  </si>
  <si>
    <t>RoadSurfaceTemp</t>
  </si>
  <si>
    <t>EngDslPrtclateFilterIntakePress</t>
  </si>
  <si>
    <t>EngIntakeManifold1Press</t>
  </si>
  <si>
    <t>EngIntakeManifold1Temp</t>
  </si>
  <si>
    <t>EngAirIntakePress</t>
  </si>
  <si>
    <t>EngAirFilter1DiffPress</t>
  </si>
  <si>
    <t>EngExhaustGasTemp</t>
  </si>
  <si>
    <t>EngCoolantFilterDiffPress</t>
  </si>
  <si>
    <t>IC1</t>
  </si>
  <si>
    <t>NetBatteryCurrent</t>
  </si>
  <si>
    <t>AltCurrent</t>
  </si>
  <si>
    <t>ChargingSystemPotential</t>
  </si>
  <si>
    <t>BatteryPotential_PowerInput1</t>
  </si>
  <si>
    <t>KeyswitchBatteryPotential</t>
  </si>
  <si>
    <t>EngOilLevelRemoteReservoir</t>
  </si>
  <si>
    <t>EngFuelSupplyPumpIntakePress</t>
  </si>
  <si>
    <t>EngFuelFilterDiffPress</t>
  </si>
  <si>
    <t>EngWasteOilReservoirLevel</t>
  </si>
  <si>
    <t>EngOilFilterOutletPress</t>
  </si>
  <si>
    <t>EngOilPrimingPumpSwitch</t>
  </si>
  <si>
    <t>EngOilPrimingState</t>
  </si>
  <si>
    <t>EngOilPreHeatedState</t>
  </si>
  <si>
    <t>EngCoolantPreheatedState</t>
  </si>
  <si>
    <t>EngVentilationStatus</t>
  </si>
  <si>
    <t>FuelPumpPrimerStatus</t>
  </si>
  <si>
    <t>DieselParticulateFilterLampCmd</t>
  </si>
  <si>
    <t>DslPrtcltFltrPssvRgnrtionStatus</t>
  </si>
  <si>
    <t>DslPrtcltFltrActvRgnrtionStatus</t>
  </si>
  <si>
    <t>DieselParticulateFilterStatus</t>
  </si>
  <si>
    <t>DslPrtcltFltrActvRgnrtnInhbtdStt</t>
  </si>
  <si>
    <t>DslPrtcltFltrActvRgnrtnInhbtdDTI</t>
  </si>
  <si>
    <t>DslPrtcltFltrActvRgnrtnInhbtdDTC</t>
  </si>
  <si>
    <t>DslPrtcltFltrActvRgnrtnInhb_0004</t>
  </si>
  <si>
    <t>DslPrtcltFltrActvRgnrtnInhb_0003</t>
  </si>
  <si>
    <t>DslPrtcltFltrActvRgnrtnInhbtdDTA</t>
  </si>
  <si>
    <t>DslPrtcltFltrActvRgnrtnInhbtdDTO</t>
  </si>
  <si>
    <t>DslPrtcltFltrActvRgnrtnInhb_0002</t>
  </si>
  <si>
    <t>DslPrtcltFltrActvRgnrtnInhb_0001</t>
  </si>
  <si>
    <t>DslPrtcltFltrActvRgnrtnInhbtdDTL</t>
  </si>
  <si>
    <t>DslPrtcltFltrActvRgnrtnInhb_0000</t>
  </si>
  <si>
    <t>DslPrtcltFltrActvRgnrtnInhbtdDTS</t>
  </si>
  <si>
    <t>DslPrtcltFltrActvRgnrtnInhbtdDTT</t>
  </si>
  <si>
    <t>DslPrtcltFltrActvRgnrtnInhbtdDTP</t>
  </si>
  <si>
    <t>DslPrtcltFltrActvRgnrtnInhbtdDTE</t>
  </si>
  <si>
    <t>DslPrtcltFltrActvRgnrtnInhbtdDTV</t>
  </si>
  <si>
    <t>DslPrtcltFltrAtmtcActvRgnrtnIntt</t>
  </si>
  <si>
    <t>ExhaustSystemHighTempLampCmd</t>
  </si>
  <si>
    <t>DslPrtcltFltrActvRgnrtnFrcdStts</t>
  </si>
  <si>
    <t>Aftertreatment1ExhaustGasTemp1</t>
  </si>
  <si>
    <t>Aftrtrtmnt1DslPrtcltFltrInt_0000</t>
  </si>
  <si>
    <t>Aftrtrtmnt1ExhstGsTmp1PrlmnryFMI</t>
  </si>
  <si>
    <t>Aftrtrtmnt1DslPrtcltFltrIntkGsTm</t>
  </si>
  <si>
    <t>Aftrtrtmnt1SCRCatalystTankLevel</t>
  </si>
  <si>
    <t>Aftrtrtment1SCRCatalystTankTemp</t>
  </si>
  <si>
    <t>Aftrtrtmnt1SCRCtalystTankLevel2</t>
  </si>
  <si>
    <t>Aftrtrtmnt1SCRCtlystTnkLvlPrlmnr</t>
  </si>
  <si>
    <t>Aftrtrtmnt1DEFTnkLwLvlIndicator</t>
  </si>
  <si>
    <t>Aftrtrtmnt1SCRCtlystRgntTnk1TmpP</t>
  </si>
  <si>
    <t>AftrtrtmntSCROprtrIndcmntSvrity</t>
  </si>
  <si>
    <t>Aftrtrtmnt1SCRCtalystTankHeater</t>
  </si>
  <si>
    <t>Aftrtrtmnt1SCRCtlystRgntTnk1HtrP</t>
  </si>
  <si>
    <t>AT1T1I</t>
  </si>
  <si>
    <t>Aftrtrtmnt1SCRActlDsngRgntQntty</t>
  </si>
  <si>
    <t>Aftertreatment1SCRSystemState</t>
  </si>
  <si>
    <t>Aftrtrtmnt1SCRActlRgntQnttyOfInt</t>
  </si>
  <si>
    <t>Aftrtrtmnt1SCRDsngRgentAbsPress</t>
  </si>
  <si>
    <t>A1SCREGT</t>
  </si>
  <si>
    <t>Aftrtrtmnt1SCRCtlystIntkGasTemp</t>
  </si>
  <si>
    <t>Aftrtrtmnt1SCRCtlystIntkGsTmpPrl</t>
  </si>
  <si>
    <t>Aftrtrtmnt1SCRCtlystOtltGasTemp</t>
  </si>
  <si>
    <t>Aftrtrtmnt1SCRCtlystOtltGsTmpPrl</t>
  </si>
  <si>
    <t>Aftrtrtmnt1DslOxdtnCtlystIn_0000</t>
  </si>
  <si>
    <t>Aftrtrtmnt1DslOxdtnCtlystOt_0000</t>
  </si>
  <si>
    <t>Aftrtrtmnt1DslOxdtnCtlystDffPrss</t>
  </si>
  <si>
    <t>Aftrtrtmnt1DslOxdtnCtlystIntkGsT</t>
  </si>
  <si>
    <t>Aftrtrtmnt1DslOxdtnCtlystOtltGsT</t>
  </si>
  <si>
    <t>Aftrtrtmnt1DslOxdtnCtlystDf_0000</t>
  </si>
  <si>
    <t>WFI</t>
  </si>
  <si>
    <t>WaterInFuelIndicator</t>
  </si>
  <si>
    <t>EngProtectLampCmd</t>
  </si>
  <si>
    <t>EngAmberWarningLampCmd</t>
  </si>
  <si>
    <t>EngRedStopLampCmd</t>
  </si>
  <si>
    <t>OBDMalfunctionIndicatorLampCmd</t>
  </si>
  <si>
    <t>EngBrakeActiveLampCmd</t>
  </si>
  <si>
    <t>CmprssnBrkEnblSwtchIndctrLmpCmd</t>
  </si>
  <si>
    <t>EngOilPressLowLampCmd</t>
  </si>
  <si>
    <t>EngCoolantTempHighLampCmd</t>
  </si>
  <si>
    <t>EngCoolantLevelLowLampCmd</t>
  </si>
  <si>
    <t>EngIdleManagementActiveLampCmd</t>
  </si>
  <si>
    <t>EngAirFilterRestrictionLampCmd</t>
  </si>
  <si>
    <t>EngFuelFilterRestrictedLampCmd</t>
  </si>
  <si>
    <t>DLCD1</t>
  </si>
  <si>
    <t>EngProtectLampData</t>
  </si>
  <si>
    <t>EngAmberWarningLampData</t>
  </si>
  <si>
    <t>EngRedStopLampData</t>
  </si>
  <si>
    <t>OBDMalfunctionIndicatorLampData</t>
  </si>
  <si>
    <t>EngBrakeActiveLampData</t>
  </si>
  <si>
    <t>CmprssnBrkEnblSwtchIndctrLmpDta</t>
  </si>
  <si>
    <t>EngOilPressLowLampData</t>
  </si>
  <si>
    <t>EngCoolantTempHighLampData</t>
  </si>
  <si>
    <t>EngCoolantLevelLowLampData</t>
  </si>
  <si>
    <t>EngIdleManagementActiveLampData</t>
  </si>
  <si>
    <t>EngAirFilterRestrictionLampData</t>
  </si>
  <si>
    <t>EngFuelFilterRestrictedLampData</t>
  </si>
  <si>
    <t>EngWaitToStartLampData</t>
  </si>
  <si>
    <t>ENGINE SPEED SENSOR INFORMATION</t>
  </si>
  <si>
    <t>0,1,2</t>
  </si>
  <si>
    <t>0,1</t>
  </si>
  <si>
    <t>2,3</t>
  </si>
  <si>
    <t>4,5,6</t>
  </si>
  <si>
    <t>4,5</t>
  </si>
  <si>
    <t>6,7</t>
  </si>
  <si>
    <t>2,3,4</t>
  </si>
  <si>
    <t>5,6,7</t>
  </si>
  <si>
    <t>Yes</t>
  </si>
  <si>
    <t>SPN</t>
  </si>
  <si>
    <t>PGN</t>
  </si>
  <si>
    <t>DATA</t>
  </si>
  <si>
    <t>GVL_J1939.</t>
  </si>
  <si>
    <t>C3.6</t>
  </si>
  <si>
    <t>GVL_Engine.DPF_Lamp=FALSE</t>
  </si>
  <si>
    <t>GVL_Engine.DPF_Regen_Inhibited=FALSE</t>
  </si>
  <si>
    <t>GVL_Engine.DPF_RegenActive=FALSE</t>
  </si>
  <si>
    <t>GVL_Engine.MILamp=FALSE</t>
  </si>
  <si>
    <t>Engine hours  request</t>
  </si>
  <si>
    <t>Method for setting speed a bit random ….?</t>
  </si>
  <si>
    <t>DPF_LampStaus</t>
  </si>
  <si>
    <t>DPF_RegenActive</t>
  </si>
  <si>
    <t>DPF_Regen_Inhibit1</t>
  </si>
  <si>
    <t>DPF_Regen_Inhibit2</t>
  </si>
  <si>
    <t>DPF_Regen_Inhibit3</t>
  </si>
  <si>
    <t>GVL_J1939.DPFC1_DieselParticulateFilterLampCmd</t>
  </si>
  <si>
    <t>GVL_J1939.DPFC1_DslPrtcltFltrActvRgnrtionStatus</t>
  </si>
  <si>
    <t>GVL_J1939.DPFC1_DieselParticulateFilterStatus</t>
  </si>
  <si>
    <t>GVL_J1939.DPFC1_DslPrtcltFltrActvRgnrtnInhbtdDTI</t>
  </si>
  <si>
    <t>GVL_J1939.DPFC1_DslPrtcltFltrActvRgnrtnInhbtdDTT</t>
  </si>
  <si>
    <t>GVL_J1939.DPFC1_DslPrtcltFltrActvRgnrtnInhbtdDTP</t>
  </si>
  <si>
    <t>Emergencey Stop Active</t>
  </si>
  <si>
    <t>PLC Ethernet Common Failure</t>
  </si>
  <si>
    <t>GVL_Alarms.LowHydOilAlarm</t>
  </si>
  <si>
    <t>GVL_Alarms.HydTempAlarm</t>
  </si>
  <si>
    <t>GVL_Alarms.DrumHighPress_Alarm</t>
  </si>
  <si>
    <t>GVL_Alarms.LowFuelAlarm</t>
  </si>
  <si>
    <t>GVL_Alarms.AutoShutdownAlarm</t>
  </si>
  <si>
    <t>GVL_Alarms.LowOilPressAlarm</t>
  </si>
  <si>
    <t>GVL_Alarms.EngineHiTempAlarm</t>
  </si>
  <si>
    <t>Drum High Pressure Alarm</t>
  </si>
  <si>
    <t>Auto Shutdown Alarm</t>
  </si>
  <si>
    <t>Engine Low Oil Pressure Alarm</t>
  </si>
  <si>
    <t>Engine High Temperature Alarm</t>
  </si>
  <si>
    <t>Low Fuel Level Alarm</t>
  </si>
  <si>
    <t>Hydraulic Oil Temperature Alarm</t>
  </si>
  <si>
    <t>Hydraulic Oil level Low Alarm</t>
  </si>
  <si>
    <t>Radial mode - show the stockpile direction</t>
  </si>
  <si>
    <t>fix up the naming on the milla amp settings on the radial page for radial</t>
  </si>
  <si>
    <t>dual names for both modes (stockpile is side coveyor)</t>
  </si>
  <si>
    <t>Basic Page listing all the alrms anad interlocks - highlight logic</t>
  </si>
  <si>
    <t>Check the logic for this - could be a lot more simple when tracking started</t>
  </si>
  <si>
    <t>Alarms Page to cover all the shutdowns / interlocks / main alarm</t>
  </si>
  <si>
    <t>better lines! Show ecu symbol on the engine can link - maybe just schamtic style</t>
  </si>
  <si>
    <t>Better Drum Pressure Display, move counter to interlocks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</si>
</sst>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5" tint="-0.249977111117893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5" tint="-0.249977111117893"/>
      <name val="Calibri"/>
      <family val="2"/>
      <scheme val="minor"/>
    </font>
    <font>
      <b/>
      <sz val="9"/>
      <color theme="5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7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 vertical="center" textRotation="90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textRotation="90"/>
    </xf>
    <xf numFmtId="0" fontId="4" fillId="0" borderId="1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18" fillId="0" borderId="0" xfId="1"/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9" fillId="2" borderId="0" xfId="0" applyFont="1" applyFill="1"/>
    <xf numFmtId="0" fontId="19" fillId="2" borderId="0" xfId="0" applyFont="1" applyFill="1" applyAlignment="1">
      <alignment horizontal="left"/>
    </xf>
    <xf numFmtId="0" fontId="19" fillId="2" borderId="0" xfId="0" applyFont="1" applyFill="1" applyAlignment="1">
      <alignment horizontal="center"/>
    </xf>
    <xf numFmtId="0" fontId="13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47E1DBCD-C936-432B-B32F-8AEAA607F667}"/>
  </tableStyles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9</xdr:row>
      <xdr:rowOff>0</xdr:rowOff>
    </xdr:from>
    <xdr:to>
      <xdr:col>2</xdr:col>
      <xdr:colOff>619211</xdr:colOff>
      <xdr:row>12</xdr:row>
      <xdr:rowOff>95343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833EED-8866-5B6C-942C-ABC12D068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71500"/>
          <a:ext cx="619211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600159</xdr:colOff>
      <xdr:row>17</xdr:row>
      <xdr:rowOff>38185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447498-B070-225F-8C61-6B95BF0BB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" y="1524000"/>
          <a:ext cx="600159" cy="6096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619211</xdr:colOff>
      <xdr:row>22</xdr:row>
      <xdr:rowOff>57238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25C667-8409-F324-98A6-26D7F9220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2476500"/>
          <a:ext cx="619211" cy="6287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638264</xdr:colOff>
      <xdr:row>27</xdr:row>
      <xdr:rowOff>38185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C186CC-B87C-BCB5-C698-416FEA4E4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3429000"/>
          <a:ext cx="638264" cy="609685"/>
        </a:xfrm>
        <a:prstGeom prst="rect">
          <a:avLst/>
        </a:prstGeom>
      </xdr:spPr>
    </xdr:pic>
    <xdr:clientData/>
  </xdr:twoCellAnchor>
  <xdr:twoCellAnchor editAs="oneCell">
    <xdr:from>
      <xdr:col>4</xdr:col>
      <xdr:colOff>180975</xdr:colOff>
      <xdr:row>10</xdr:row>
      <xdr:rowOff>114300</xdr:rowOff>
    </xdr:from>
    <xdr:to>
      <xdr:col>7</xdr:col>
      <xdr:colOff>401232</xdr:colOff>
      <xdr:row>13</xdr:row>
      <xdr:rowOff>2676525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0A1D605-FF55-392F-67DB-AA2D0E341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19375" y="876300"/>
          <a:ext cx="4639857" cy="3133725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200025</xdr:colOff>
      <xdr:row>13</xdr:row>
      <xdr:rowOff>2724150</xdr:rowOff>
    </xdr:from>
    <xdr:to>
      <xdr:col>4</xdr:col>
      <xdr:colOff>2429186</xdr:colOff>
      <xdr:row>13</xdr:row>
      <xdr:rowOff>3028993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CFB5DAA-B8FA-8042-FB98-8F93384DC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638425" y="4057650"/>
          <a:ext cx="2229161" cy="304843"/>
        </a:xfrm>
        <a:prstGeom prst="rect">
          <a:avLst/>
        </a:prstGeom>
      </xdr:spPr>
    </xdr:pic>
    <xdr:clientData/>
  </xdr:twoCellAnchor>
  <xdr:twoCellAnchor editAs="oneCell">
    <xdr:from>
      <xdr:col>9</xdr:col>
      <xdr:colOff>171450</xdr:colOff>
      <xdr:row>11</xdr:row>
      <xdr:rowOff>0</xdr:rowOff>
    </xdr:from>
    <xdr:to>
      <xdr:col>15</xdr:col>
      <xdr:colOff>38592</xdr:colOff>
      <xdr:row>13</xdr:row>
      <xdr:rowOff>1390897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1A72CB8-4EC5-9BB3-BB4A-1995617BCC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20000" y="952500"/>
          <a:ext cx="3524742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104775</xdr:colOff>
      <xdr:row>15</xdr:row>
      <xdr:rowOff>133350</xdr:rowOff>
    </xdr:from>
    <xdr:to>
      <xdr:col>7</xdr:col>
      <xdr:colOff>419761</xdr:colOff>
      <xdr:row>17</xdr:row>
      <xdr:rowOff>1562353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7E01444-9B53-6824-DF6E-019CBEEF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543175" y="4895850"/>
          <a:ext cx="4734586" cy="1810003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15</xdr:row>
      <xdr:rowOff>133351</xdr:rowOff>
    </xdr:from>
    <xdr:to>
      <xdr:col>17</xdr:col>
      <xdr:colOff>207243</xdr:colOff>
      <xdr:row>17</xdr:row>
      <xdr:rowOff>1409701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4A59E33-07CC-C52B-86C0-1D9CE17B8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39050" y="4895851"/>
          <a:ext cx="4893543" cy="165735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21</xdr:row>
      <xdr:rowOff>0</xdr:rowOff>
    </xdr:from>
    <xdr:to>
      <xdr:col>7</xdr:col>
      <xdr:colOff>572197</xdr:colOff>
      <xdr:row>22</xdr:row>
      <xdr:rowOff>1686187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54248FBB-A21E-0D4F-F086-4B892923D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438400" y="10915650"/>
          <a:ext cx="4991797" cy="1876687"/>
        </a:xfrm>
        <a:prstGeom prst="rect">
          <a:avLst/>
        </a:prstGeom>
      </xdr:spPr>
    </xdr:pic>
    <xdr:clientData/>
  </xdr:twoCellAnchor>
  <xdr:twoCellAnchor editAs="oneCell">
    <xdr:from>
      <xdr:col>9</xdr:col>
      <xdr:colOff>304800</xdr:colOff>
      <xdr:row>20</xdr:row>
      <xdr:rowOff>114300</xdr:rowOff>
    </xdr:from>
    <xdr:to>
      <xdr:col>18</xdr:col>
      <xdr:colOff>723</xdr:colOff>
      <xdr:row>22</xdr:row>
      <xdr:rowOff>1514724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17EA245-7891-4E03-7212-C89B5D630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753350" y="10839450"/>
          <a:ext cx="5182323" cy="1781424"/>
        </a:xfrm>
        <a:prstGeom prst="rect">
          <a:avLst/>
        </a:prstGeom>
      </xdr:spPr>
    </xdr:pic>
    <xdr:clientData/>
  </xdr:twoCellAnchor>
  <xdr:twoCellAnchor editAs="oneCell">
    <xdr:from>
      <xdr:col>18</xdr:col>
      <xdr:colOff>190500</xdr:colOff>
      <xdr:row>20</xdr:row>
      <xdr:rowOff>95250</xdr:rowOff>
    </xdr:from>
    <xdr:to>
      <xdr:col>26</xdr:col>
      <xdr:colOff>172128</xdr:colOff>
      <xdr:row>22</xdr:row>
      <xdr:rowOff>1200357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1DB92C1-FF12-F228-B612-57B63362AB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125450" y="10820400"/>
          <a:ext cx="4858428" cy="1486107"/>
        </a:xfrm>
        <a:prstGeom prst="rect">
          <a:avLst/>
        </a:prstGeom>
      </xdr:spPr>
    </xdr:pic>
    <xdr:clientData/>
  </xdr:twoCellAnchor>
  <xdr:twoCellAnchor editAs="oneCell">
    <xdr:from>
      <xdr:col>17</xdr:col>
      <xdr:colOff>483476</xdr:colOff>
      <xdr:row>15</xdr:row>
      <xdr:rowOff>171450</xdr:rowOff>
    </xdr:from>
    <xdr:to>
      <xdr:col>25</xdr:col>
      <xdr:colOff>58002</xdr:colOff>
      <xdr:row>17</xdr:row>
      <xdr:rowOff>3991779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51D1941-A6A6-583E-71FF-5F27160D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808826" y="4933950"/>
          <a:ext cx="4451326" cy="4201329"/>
        </a:xfrm>
        <a:prstGeom prst="rect">
          <a:avLst/>
        </a:prstGeom>
      </xdr:spPr>
    </xdr:pic>
    <xdr:clientData/>
  </xdr:twoCellAnchor>
  <xdr:twoCellAnchor editAs="oneCell">
    <xdr:from>
      <xdr:col>4</xdr:col>
      <xdr:colOff>1</xdr:colOff>
      <xdr:row>26</xdr:row>
      <xdr:rowOff>0</xdr:rowOff>
    </xdr:from>
    <xdr:to>
      <xdr:col>8</xdr:col>
      <xdr:colOff>219075</xdr:colOff>
      <xdr:row>36</xdr:row>
      <xdr:rowOff>179496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8C6E607-79C8-16EB-E268-5EA599911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438401" y="14287500"/>
          <a:ext cx="5248274" cy="20844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sobus.net/isobus/pGNAndSPN/index?PGNAndSPN_page=3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BF08-015A-4388-B8C8-8A07CE5EF3C7}">
  <sheetPr>
    <pageSetUpPr fitToPage="1"/>
  </sheetPr>
  <dimension ref="A1:V78"/>
  <sheetViews>
    <sheetView zoomScaleNormal="100" workbookViewId="0">
      <pane ySplit="1" topLeftCell="A26" activePane="bottomLeft" state="frozen"/>
      <selection pane="bottomLeft" activeCell="H48" sqref="H48"/>
    </sheetView>
  </sheetViews>
  <sheetFormatPr defaultRowHeight="12" x14ac:dyDescent="0.2"/>
  <cols>
    <col min="1" max="1" width="8.28515625" style="5" bestFit="1" customWidth="1"/>
    <col min="2" max="2" width="7.7109375" style="5" bestFit="1" customWidth="1"/>
    <col min="3" max="3" width="7.7109375" style="4" bestFit="1" customWidth="1"/>
    <col min="4" max="4" width="8.28515625" style="5" bestFit="1" customWidth="1"/>
    <col min="5" max="5" width="13.42578125" style="5" bestFit="1" customWidth="1"/>
    <col min="6" max="7" width="8.28515625" style="5" bestFit="1" customWidth="1"/>
    <col min="8" max="8" width="12.7109375" style="5" bestFit="1" customWidth="1"/>
    <col min="9" max="9" width="9.5703125" style="5" bestFit="1" customWidth="1"/>
    <col min="10" max="10" width="14.28515625" style="5" bestFit="1" customWidth="1"/>
    <col min="11" max="11" width="35.140625" style="4" bestFit="1" customWidth="1"/>
    <col min="12" max="12" width="32.7109375" style="4" bestFit="1" customWidth="1"/>
    <col min="13" max="13" width="26.85546875" style="4" hidden="1" customWidth="1"/>
    <col min="14" max="14" width="44.42578125" style="2" hidden="1" customWidth="1"/>
    <col min="15" max="16" width="54" style="2" hidden="1" customWidth="1"/>
    <col min="17" max="17" width="70.7109375" style="2" hidden="1" customWidth="1"/>
    <col min="18" max="18" width="200" style="2" hidden="1" customWidth="1"/>
    <col min="19" max="19" width="61.28515625" style="2" hidden="1" customWidth="1"/>
    <col min="20" max="20" width="24.28515625" style="2" hidden="1" customWidth="1"/>
    <col min="21" max="21" width="57.140625" style="2" hidden="1" customWidth="1"/>
    <col min="22" max="25" width="14.140625" style="4" customWidth="1"/>
    <col min="26" max="16384" width="9.140625" style="4"/>
  </cols>
  <sheetData>
    <row r="1" spans="1:21" s="9" customFormat="1" ht="110.25" customHeight="1" x14ac:dyDescent="0.25">
      <c r="A1" s="16" t="s">
        <v>0</v>
      </c>
      <c r="B1" s="18" t="s">
        <v>1</v>
      </c>
      <c r="C1" s="18" t="s">
        <v>2</v>
      </c>
      <c r="D1" s="16" t="s">
        <v>3</v>
      </c>
      <c r="E1" s="18"/>
      <c r="F1" s="16" t="s">
        <v>4</v>
      </c>
      <c r="G1" s="16" t="s">
        <v>5</v>
      </c>
      <c r="H1" s="18" t="s">
        <v>6</v>
      </c>
      <c r="I1" s="16" t="s">
        <v>7</v>
      </c>
      <c r="J1" s="16" t="s">
        <v>8</v>
      </c>
      <c r="K1" s="29" t="s">
        <v>9</v>
      </c>
      <c r="L1" s="25" t="s">
        <v>10</v>
      </c>
      <c r="M1" s="25" t="s">
        <v>11</v>
      </c>
      <c r="N1" s="22" t="s">
        <v>12</v>
      </c>
      <c r="O1" s="22" t="s">
        <v>13</v>
      </c>
      <c r="P1" s="22"/>
      <c r="Q1" s="22" t="s">
        <v>14</v>
      </c>
      <c r="R1" s="22" t="s">
        <v>15</v>
      </c>
      <c r="S1" s="22" t="s">
        <v>16</v>
      </c>
      <c r="T1" s="22" t="s">
        <v>17</v>
      </c>
      <c r="U1" s="22" t="s">
        <v>18</v>
      </c>
    </row>
    <row r="2" spans="1:21" x14ac:dyDescent="0.2">
      <c r="A2" s="17" t="s">
        <v>91</v>
      </c>
      <c r="B2" s="17" t="s">
        <v>19</v>
      </c>
      <c r="C2" s="19">
        <v>1</v>
      </c>
      <c r="D2" s="17" t="s">
        <v>20</v>
      </c>
      <c r="E2" s="17" t="str">
        <f t="shared" ref="E2" si="0">_xlfn.CONCAT(B2,".",D2)</f>
        <v>CR0709.IN0100</v>
      </c>
      <c r="F2" s="17" t="s">
        <v>21</v>
      </c>
      <c r="G2" s="21" t="str">
        <f>_xlfn.XLOOKUP(E2,IfmPinRef!$B$2:$B$199,IfmPinRef!$H$2:$H$199)</f>
        <v>a63</v>
      </c>
      <c r="H2" s="21" t="str">
        <f>_xlfn.XLOOKUP(E2,IfmPinRef!$B$2:$B$199,IfmPinRef!$I$2:$I$199)</f>
        <v>A, BL</v>
      </c>
      <c r="I2" s="21" t="s">
        <v>22</v>
      </c>
      <c r="J2" s="21" t="str">
        <f t="shared" ref="J2:J65" si="1">_xlfn.CONCAT(A2,".",D2)</f>
        <v>CHASSIS.IN0100</v>
      </c>
      <c r="K2" s="31" t="s">
        <v>199</v>
      </c>
      <c r="L2" s="19" t="str">
        <f>IF(K2&lt;&gt;"",UPPER(K2),_xlfn.CONCAT("SPARE_",D2))</f>
        <v>ESTOP_OK</v>
      </c>
      <c r="M2" s="19"/>
      <c r="N2" s="20" t="str">
        <f>_xlfn.CONCAT(L2,":IpCom; // ",A2," ",D2)</f>
        <v>ESTOP_OK:IpCom; // CHASSIS IN0100</v>
      </c>
      <c r="O2" s="20" t="str">
        <f>_xlfn.CONCAT("Machine_IO.","Inputs.",L2,"")</f>
        <v>Machine_IO.Inputs.ESTOP_OK</v>
      </c>
      <c r="P2" s="20" t="str">
        <f>_xlfn.CONCAT(O2,".Dig")</f>
        <v>Machine_IO.Inputs.ESTOP_OK.Dig</v>
      </c>
      <c r="Q2" s="20" t="str">
        <f t="shared" ref="Q2:Q33" si="2">_xlfn.CONCAT(O2,"(); // ",E2)</f>
        <v>Machine_IO.Inputs.ESTOP_OK(); // CR0709.IN0100</v>
      </c>
      <c r="R2" s="20" t="str">
        <f>_xlfn.CONCAT("Machine_IO.","Inputs.",L2,".Init('",A2,"','",L2,"','",D2,"','",G2,"',","NVL_IO_",A2,".All_Inputs.",D2,",Machine_IO.Node_",A2,");")</f>
        <v>Machine_IO.Inputs.ESTOP_OK.Init('CHASSIS','ESTOP_OK','IN0100','a63',NVL_IO_CHASSIS.All_Inputs.IN0100,Machine_IO.Node_CHASSIS);</v>
      </c>
      <c r="S2" s="20" t="str">
        <f t="shared" ref="S2:S33" si="3">_xlfn.CONCAT(K2,": Mimic_Input_FB; // ",A2,":",D2)</f>
        <v>ESTOP_OK: Mimic_Input_FB; // CHASSIS:IN0100</v>
      </c>
      <c r="T2" s="20" t="str">
        <f t="shared" ref="T2:T33" si="4">_xlfn.CONCAT(A2,".",D2,"();")</f>
        <v>CHASSIS.IN0100();</v>
      </c>
      <c r="U2" s="20" t="str">
        <f t="shared" ref="U2:U33" si="5">_xlfn.CONCAT(A2,".",D2,".Init(",O2,");")</f>
        <v>CHASSIS.IN0100.Init(Machine_IO.Inputs.ESTOP_OK);</v>
      </c>
    </row>
    <row r="3" spans="1:21" x14ac:dyDescent="0.2">
      <c r="A3" s="17" t="s">
        <v>91</v>
      </c>
      <c r="B3" s="17" t="s">
        <v>19</v>
      </c>
      <c r="C3" s="19">
        <v>2</v>
      </c>
      <c r="D3" s="17" t="s">
        <v>23</v>
      </c>
      <c r="E3" s="17" t="str">
        <f t="shared" ref="E3:E65" si="6">_xlfn.CONCAT(B3,".",D3)</f>
        <v>CR0709.IN0101</v>
      </c>
      <c r="F3" s="17" t="s">
        <v>21</v>
      </c>
      <c r="G3" s="21" t="str">
        <f>_xlfn.XLOOKUP(E3,IfmPinRef!$B$2:$B$199,IfmPinRef!$H$2:$H$199)</f>
        <v>a64</v>
      </c>
      <c r="H3" s="21" t="str">
        <f>_xlfn.XLOOKUP(E3,IfmPinRef!$B$2:$B$199,IfmPinRef!$I$2:$I$199)</f>
        <v>A, BL</v>
      </c>
      <c r="I3" s="21" t="s">
        <v>201</v>
      </c>
      <c r="J3" s="21" t="str">
        <f t="shared" si="1"/>
        <v>CHASSIS.IN0101</v>
      </c>
      <c r="K3" s="19" t="s">
        <v>200</v>
      </c>
      <c r="L3" s="19" t="str">
        <f t="shared" ref="L3:L65" si="7">IF(K3&lt;&gt;"",UPPER(K3),_xlfn.CONCAT("SPARE_",D3))</f>
        <v>DRUM_PRESSURE</v>
      </c>
      <c r="M3" s="19"/>
      <c r="N3" s="20" t="str">
        <f t="shared" ref="N3:N33" si="8">_xlfn.CONCAT(L3,":IpCom; // ",A3," ",D3)</f>
        <v>DRUM_PRESSURE:IpCom; // CHASSIS IN0101</v>
      </c>
      <c r="O3" s="20" t="str">
        <f t="shared" ref="O3:O33" si="9">_xlfn.CONCAT("Machine_IO.","Inputs.",L3,"")</f>
        <v>Machine_IO.Inputs.DRUM_PRESSURE</v>
      </c>
      <c r="P3" s="20" t="str">
        <f t="shared" ref="P3:P65" si="10">_xlfn.CONCAT(O3,".Dig")</f>
        <v>Machine_IO.Inputs.DRUM_PRESSURE.Dig</v>
      </c>
      <c r="Q3" s="20" t="str">
        <f t="shared" si="2"/>
        <v>Machine_IO.Inputs.DRUM_PRESSURE(); // CR0709.IN0101</v>
      </c>
      <c r="R3" s="20" t="str">
        <f t="shared" ref="R3:R33" si="11">_xlfn.CONCAT("Machine_IO.","Inputs.",L3,".Init('",A3,"','",L3,"','",D3,"','",G3,"',","NVL_IO_",A3,".All_Inputs.",D3,",Machine_IO.Node_",A3,");")</f>
        <v>Machine_IO.Inputs.DRUM_PRESSURE.Init('CHASSIS','DRUM_PRESSURE','IN0101','a64',NVL_IO_CHASSIS.All_Inputs.IN0101,Machine_IO.Node_CHASSIS);</v>
      </c>
      <c r="S3" s="20" t="str">
        <f t="shared" si="3"/>
        <v>DRUM_PRESSURE: Mimic_Input_FB; // CHASSIS:IN0101</v>
      </c>
      <c r="T3" s="20" t="str">
        <f t="shared" si="4"/>
        <v>CHASSIS.IN0101();</v>
      </c>
      <c r="U3" s="20" t="str">
        <f t="shared" si="5"/>
        <v>CHASSIS.IN0101.Init(Machine_IO.Inputs.DRUM_PRESSURE);</v>
      </c>
    </row>
    <row r="4" spans="1:21" s="2" customFormat="1" x14ac:dyDescent="0.2">
      <c r="A4" s="17" t="s">
        <v>91</v>
      </c>
      <c r="B4" s="17" t="s">
        <v>19</v>
      </c>
      <c r="C4" s="19">
        <v>3</v>
      </c>
      <c r="D4" s="17" t="s">
        <v>24</v>
      </c>
      <c r="E4" s="17" t="str">
        <f t="shared" si="6"/>
        <v>CR0709.IN0102</v>
      </c>
      <c r="F4" s="17" t="s">
        <v>21</v>
      </c>
      <c r="G4" s="21" t="str">
        <f>_xlfn.XLOOKUP(E4,IfmPinRef!$B$2:$B$199,IfmPinRef!$H$2:$H$199)</f>
        <v>a65</v>
      </c>
      <c r="H4" s="21" t="str">
        <f>_xlfn.XLOOKUP(E4,IfmPinRef!$B$2:$B$199,IfmPinRef!$I$2:$I$199)</f>
        <v>A, BL</v>
      </c>
      <c r="I4" s="21" t="s">
        <v>22</v>
      </c>
      <c r="J4" s="21" t="str">
        <f t="shared" si="1"/>
        <v>CHASSIS.IN0102</v>
      </c>
      <c r="K4" s="19" t="s">
        <v>542</v>
      </c>
      <c r="L4" s="19" t="str">
        <f t="shared" si="7"/>
        <v>RADIAL_RIGHTLIMITSWITCH</v>
      </c>
      <c r="M4" s="19"/>
      <c r="N4" s="20" t="str">
        <f t="shared" si="8"/>
        <v>RADIAL_RIGHTLIMITSWITCH:IpCom; // CHASSIS IN0102</v>
      </c>
      <c r="O4" s="20" t="str">
        <f t="shared" si="9"/>
        <v>Machine_IO.Inputs.RADIAL_RIGHTLIMITSWITCH</v>
      </c>
      <c r="P4" s="20" t="str">
        <f t="shared" si="10"/>
        <v>Machine_IO.Inputs.RADIAL_RIGHTLIMITSWITCH.Dig</v>
      </c>
      <c r="Q4" s="20" t="str">
        <f t="shared" si="2"/>
        <v>Machine_IO.Inputs.RADIAL_RIGHTLIMITSWITCH(); // CR0709.IN0102</v>
      </c>
      <c r="R4" s="20" t="str">
        <f t="shared" si="11"/>
        <v>Machine_IO.Inputs.RADIAL_RIGHTLIMITSWITCH.Init('CHASSIS','RADIAL_RIGHTLIMITSWITCH','IN0102','a65',NVL_IO_CHASSIS.All_Inputs.IN0102,Machine_IO.Node_CHASSIS);</v>
      </c>
      <c r="S4" s="20" t="str">
        <f t="shared" si="3"/>
        <v>Radial_RightLimitSwitch: Mimic_Input_FB; // CHASSIS:IN0102</v>
      </c>
      <c r="T4" s="20" t="str">
        <f t="shared" si="4"/>
        <v>CHASSIS.IN0102();</v>
      </c>
      <c r="U4" s="20" t="str">
        <f t="shared" si="5"/>
        <v>CHASSIS.IN0102.Init(Machine_IO.Inputs.RADIAL_RIGHTLIMITSWITCH);</v>
      </c>
    </row>
    <row r="5" spans="1:21" x14ac:dyDescent="0.2">
      <c r="A5" s="17" t="s">
        <v>91</v>
      </c>
      <c r="B5" s="17" t="s">
        <v>19</v>
      </c>
      <c r="C5" s="19">
        <v>4</v>
      </c>
      <c r="D5" s="17" t="s">
        <v>25</v>
      </c>
      <c r="E5" s="17" t="str">
        <f t="shared" si="6"/>
        <v>CR0709.IN0103</v>
      </c>
      <c r="F5" s="17" t="s">
        <v>21</v>
      </c>
      <c r="G5" s="21" t="str">
        <f>_xlfn.XLOOKUP(E5,IfmPinRef!$B$2:$B$199,IfmPinRef!$H$2:$H$199)</f>
        <v>a66</v>
      </c>
      <c r="H5" s="21" t="str">
        <f>_xlfn.XLOOKUP(E5,IfmPinRef!$B$2:$B$199,IfmPinRef!$I$2:$I$199)</f>
        <v>A, BL</v>
      </c>
      <c r="I5" s="21" t="s">
        <v>22</v>
      </c>
      <c r="J5" s="21" t="str">
        <f t="shared" si="1"/>
        <v>CHASSIS.IN0103</v>
      </c>
      <c r="K5" s="19" t="s">
        <v>543</v>
      </c>
      <c r="L5" s="19" t="str">
        <f t="shared" si="7"/>
        <v>RADIAL_LEFTLIMITSWITCH</v>
      </c>
      <c r="M5" s="19"/>
      <c r="N5" s="20" t="str">
        <f t="shared" si="8"/>
        <v>RADIAL_LEFTLIMITSWITCH:IpCom; // CHASSIS IN0103</v>
      </c>
      <c r="O5" s="20" t="str">
        <f t="shared" si="9"/>
        <v>Machine_IO.Inputs.RADIAL_LEFTLIMITSWITCH</v>
      </c>
      <c r="P5" s="20" t="str">
        <f t="shared" si="10"/>
        <v>Machine_IO.Inputs.RADIAL_LEFTLIMITSWITCH.Dig</v>
      </c>
      <c r="Q5" s="20" t="str">
        <f t="shared" si="2"/>
        <v>Machine_IO.Inputs.RADIAL_LEFTLIMITSWITCH(); // CR0709.IN0103</v>
      </c>
      <c r="R5" s="20" t="str">
        <f t="shared" si="11"/>
        <v>Machine_IO.Inputs.RADIAL_LEFTLIMITSWITCH.Init('CHASSIS','RADIAL_LEFTLIMITSWITCH','IN0103','a66',NVL_IO_CHASSIS.All_Inputs.IN0103,Machine_IO.Node_CHASSIS);</v>
      </c>
      <c r="S5" s="20" t="str">
        <f t="shared" si="3"/>
        <v>Radial_LeftLimitSwitch: Mimic_Input_FB; // CHASSIS:IN0103</v>
      </c>
      <c r="T5" s="20" t="str">
        <f t="shared" si="4"/>
        <v>CHASSIS.IN0103();</v>
      </c>
      <c r="U5" s="20" t="str">
        <f t="shared" si="5"/>
        <v>CHASSIS.IN0103.Init(Machine_IO.Inputs.RADIAL_LEFTLIMITSWITCH);</v>
      </c>
    </row>
    <row r="6" spans="1:21" s="2" customFormat="1" x14ac:dyDescent="0.2">
      <c r="A6" s="17" t="s">
        <v>91</v>
      </c>
      <c r="B6" s="17" t="s">
        <v>19</v>
      </c>
      <c r="C6" s="19">
        <v>5</v>
      </c>
      <c r="D6" s="17" t="s">
        <v>26</v>
      </c>
      <c r="E6" s="17" t="str">
        <f t="shared" si="6"/>
        <v>CR0709.IN0200</v>
      </c>
      <c r="F6" s="17" t="s">
        <v>21</v>
      </c>
      <c r="G6" s="21" t="str">
        <f>_xlfn.XLOOKUP(E6,IfmPinRef!$B$2:$B$199,IfmPinRef!$H$2:$H$199)</f>
        <v>a67</v>
      </c>
      <c r="H6" s="21" t="str">
        <f>_xlfn.XLOOKUP(E6,IfmPinRef!$B$2:$B$199,IfmPinRef!$I$2:$I$199)</f>
        <v>A, BL</v>
      </c>
      <c r="I6" s="21" t="s">
        <v>22</v>
      </c>
      <c r="J6" s="21" t="str">
        <f t="shared" si="1"/>
        <v>CHASSIS.IN0200</v>
      </c>
      <c r="K6" s="19" t="s">
        <v>544</v>
      </c>
      <c r="L6" s="19" t="str">
        <f t="shared" si="7"/>
        <v>MACHINEMODE</v>
      </c>
      <c r="M6" s="19"/>
      <c r="N6" s="20" t="str">
        <f t="shared" si="8"/>
        <v>MACHINEMODE:IpCom; // CHASSIS IN0200</v>
      </c>
      <c r="O6" s="20" t="str">
        <f t="shared" si="9"/>
        <v>Machine_IO.Inputs.MACHINEMODE</v>
      </c>
      <c r="P6" s="20" t="str">
        <f t="shared" si="10"/>
        <v>Machine_IO.Inputs.MACHINEMODE.Dig</v>
      </c>
      <c r="Q6" s="20" t="str">
        <f t="shared" si="2"/>
        <v>Machine_IO.Inputs.MACHINEMODE(); // CR0709.IN0200</v>
      </c>
      <c r="R6" s="20" t="str">
        <f t="shared" si="11"/>
        <v>Machine_IO.Inputs.MACHINEMODE.Init('CHASSIS','MACHINEMODE','IN0200','a67',NVL_IO_CHASSIS.All_Inputs.IN0200,Machine_IO.Node_CHASSIS);</v>
      </c>
      <c r="S6" s="20" t="str">
        <f t="shared" si="3"/>
        <v>MachineMode: Mimic_Input_FB; // CHASSIS:IN0200</v>
      </c>
      <c r="T6" s="20" t="str">
        <f t="shared" si="4"/>
        <v>CHASSIS.IN0200();</v>
      </c>
      <c r="U6" s="20" t="str">
        <f t="shared" si="5"/>
        <v>CHASSIS.IN0200.Init(Machine_IO.Inputs.MACHINEMODE);</v>
      </c>
    </row>
    <row r="7" spans="1:21" x14ac:dyDescent="0.2">
      <c r="A7" s="17" t="s">
        <v>91</v>
      </c>
      <c r="B7" s="17" t="s">
        <v>19</v>
      </c>
      <c r="C7" s="19">
        <v>6</v>
      </c>
      <c r="D7" s="17" t="s">
        <v>27</v>
      </c>
      <c r="E7" s="17" t="str">
        <f t="shared" si="6"/>
        <v>CR0709.IN0201</v>
      </c>
      <c r="F7" s="17" t="s">
        <v>21</v>
      </c>
      <c r="G7" s="21" t="str">
        <f>_xlfn.XLOOKUP(E7,IfmPinRef!$B$2:$B$199,IfmPinRef!$H$2:$H$199)</f>
        <v>a68</v>
      </c>
      <c r="H7" s="21" t="str">
        <f>_xlfn.XLOOKUP(E7,IfmPinRef!$B$2:$B$199,IfmPinRef!$I$2:$I$199)</f>
        <v>A, BL</v>
      </c>
      <c r="I7" s="21" t="s">
        <v>22</v>
      </c>
      <c r="J7" s="21" t="str">
        <f t="shared" si="1"/>
        <v>CHASSIS.IN0201</v>
      </c>
      <c r="K7" s="31" t="s">
        <v>319</v>
      </c>
      <c r="L7" s="19" t="str">
        <f t="shared" si="7"/>
        <v>KEYSWITCH_CRANKING</v>
      </c>
      <c r="M7" s="19"/>
      <c r="N7" s="20" t="str">
        <f t="shared" si="8"/>
        <v>KEYSWITCH_CRANKING:IpCom; // CHASSIS IN0201</v>
      </c>
      <c r="O7" s="20" t="str">
        <f t="shared" si="9"/>
        <v>Machine_IO.Inputs.KEYSWITCH_CRANKING</v>
      </c>
      <c r="P7" s="20" t="str">
        <f t="shared" si="10"/>
        <v>Machine_IO.Inputs.KEYSWITCH_CRANKING.Dig</v>
      </c>
      <c r="Q7" s="20" t="str">
        <f t="shared" si="2"/>
        <v>Machine_IO.Inputs.KEYSWITCH_CRANKING(); // CR0709.IN0201</v>
      </c>
      <c r="R7" s="20" t="str">
        <f t="shared" si="11"/>
        <v>Machine_IO.Inputs.KEYSWITCH_CRANKING.Init('CHASSIS','KEYSWITCH_CRANKING','IN0201','a68',NVL_IO_CHASSIS.All_Inputs.IN0201,Machine_IO.Node_CHASSIS);</v>
      </c>
      <c r="S7" s="20" t="str">
        <f t="shared" si="3"/>
        <v>KEYSWITCH_CRANKING: Mimic_Input_FB; // CHASSIS:IN0201</v>
      </c>
      <c r="T7" s="20" t="str">
        <f t="shared" si="4"/>
        <v>CHASSIS.IN0201();</v>
      </c>
      <c r="U7" s="20" t="str">
        <f t="shared" si="5"/>
        <v>CHASSIS.IN0201.Init(Machine_IO.Inputs.KEYSWITCH_CRANKING);</v>
      </c>
    </row>
    <row r="8" spans="1:21" x14ac:dyDescent="0.2">
      <c r="A8" s="17" t="s">
        <v>91</v>
      </c>
      <c r="B8" s="17" t="s">
        <v>19</v>
      </c>
      <c r="C8" s="19">
        <v>7</v>
      </c>
      <c r="D8" s="17" t="s">
        <v>28</v>
      </c>
      <c r="E8" s="17" t="str">
        <f t="shared" si="6"/>
        <v>CR0709.IN0202</v>
      </c>
      <c r="F8" s="17" t="s">
        <v>21</v>
      </c>
      <c r="G8" s="21" t="str">
        <f>_xlfn.XLOOKUP(E8,IfmPinRef!$B$2:$B$199,IfmPinRef!$H$2:$H$199)</f>
        <v>a69</v>
      </c>
      <c r="H8" s="21" t="str">
        <f>_xlfn.XLOOKUP(E8,IfmPinRef!$B$2:$B$199,IfmPinRef!$I$2:$I$199)</f>
        <v>A, BL</v>
      </c>
      <c r="I8" s="21" t="s">
        <v>22</v>
      </c>
      <c r="J8" s="21" t="str">
        <f t="shared" si="1"/>
        <v>CHASSIS.IN0202</v>
      </c>
      <c r="K8" s="19"/>
      <c r="L8" s="19" t="str">
        <f t="shared" si="7"/>
        <v>SPARE_IN0202</v>
      </c>
      <c r="M8" s="19"/>
      <c r="N8" s="20" t="str">
        <f t="shared" si="8"/>
        <v>SPARE_IN0202:IpCom; // CHASSIS IN0202</v>
      </c>
      <c r="O8" s="20" t="str">
        <f t="shared" si="9"/>
        <v>Machine_IO.Inputs.SPARE_IN0202</v>
      </c>
      <c r="P8" s="20" t="str">
        <f t="shared" si="10"/>
        <v>Machine_IO.Inputs.SPARE_IN0202.Dig</v>
      </c>
      <c r="Q8" s="20" t="str">
        <f t="shared" si="2"/>
        <v>Machine_IO.Inputs.SPARE_IN0202(); // CR0709.IN0202</v>
      </c>
      <c r="R8" s="20" t="str">
        <f t="shared" si="11"/>
        <v>Machine_IO.Inputs.SPARE_IN0202.Init('CHASSIS','SPARE_IN0202','IN0202','a69',NVL_IO_CHASSIS.All_Inputs.IN0202,Machine_IO.Node_CHASSIS);</v>
      </c>
      <c r="S8" s="20" t="str">
        <f t="shared" si="3"/>
        <v>: Mimic_Input_FB; // CHASSIS:IN0202</v>
      </c>
      <c r="T8" s="20" t="str">
        <f t="shared" si="4"/>
        <v>CHASSIS.IN0202();</v>
      </c>
      <c r="U8" s="20" t="str">
        <f t="shared" si="5"/>
        <v>CHASSIS.IN0202.Init(Machine_IO.Inputs.SPARE_IN0202);</v>
      </c>
    </row>
    <row r="9" spans="1:21" x14ac:dyDescent="0.2">
      <c r="A9" s="17" t="s">
        <v>91</v>
      </c>
      <c r="B9" s="17" t="s">
        <v>19</v>
      </c>
      <c r="C9" s="19">
        <v>8</v>
      </c>
      <c r="D9" s="17" t="s">
        <v>29</v>
      </c>
      <c r="E9" s="17" t="str">
        <f t="shared" si="6"/>
        <v>CR0709.IN0203</v>
      </c>
      <c r="F9" s="17" t="s">
        <v>21</v>
      </c>
      <c r="G9" s="21" t="str">
        <f>_xlfn.XLOOKUP(E9,IfmPinRef!$B$2:$B$199,IfmPinRef!$H$2:$H$199)</f>
        <v>a70</v>
      </c>
      <c r="H9" s="21" t="str">
        <f>_xlfn.XLOOKUP(E9,IfmPinRef!$B$2:$B$199,IfmPinRef!$I$2:$I$199)</f>
        <v>A, BL</v>
      </c>
      <c r="I9" s="21" t="s">
        <v>22</v>
      </c>
      <c r="J9" s="21" t="str">
        <f t="shared" si="1"/>
        <v>CHASSIS.IN0203</v>
      </c>
      <c r="K9" s="19"/>
      <c r="L9" s="19" t="str">
        <f t="shared" si="7"/>
        <v>SPARE_IN0203</v>
      </c>
      <c r="M9" s="19"/>
      <c r="N9" s="20" t="str">
        <f t="shared" si="8"/>
        <v>SPARE_IN0203:IpCom; // CHASSIS IN0203</v>
      </c>
      <c r="O9" s="20" t="str">
        <f t="shared" si="9"/>
        <v>Machine_IO.Inputs.SPARE_IN0203</v>
      </c>
      <c r="P9" s="20" t="str">
        <f t="shared" si="10"/>
        <v>Machine_IO.Inputs.SPARE_IN0203.Dig</v>
      </c>
      <c r="Q9" s="20" t="str">
        <f t="shared" si="2"/>
        <v>Machine_IO.Inputs.SPARE_IN0203(); // CR0709.IN0203</v>
      </c>
      <c r="R9" s="20" t="str">
        <f t="shared" si="11"/>
        <v>Machine_IO.Inputs.SPARE_IN0203.Init('CHASSIS','SPARE_IN0203','IN0203','a70',NVL_IO_CHASSIS.All_Inputs.IN0203,Machine_IO.Node_CHASSIS);</v>
      </c>
      <c r="S9" s="20" t="str">
        <f t="shared" si="3"/>
        <v>: Mimic_Input_FB; // CHASSIS:IN0203</v>
      </c>
      <c r="T9" s="20" t="str">
        <f t="shared" si="4"/>
        <v>CHASSIS.IN0203();</v>
      </c>
      <c r="U9" s="20" t="str">
        <f t="shared" si="5"/>
        <v>CHASSIS.IN0203.Init(Machine_IO.Inputs.SPARE_IN0203);</v>
      </c>
    </row>
    <row r="10" spans="1:21" x14ac:dyDescent="0.2">
      <c r="A10" s="17" t="s">
        <v>91</v>
      </c>
      <c r="B10" s="17" t="s">
        <v>19</v>
      </c>
      <c r="C10" s="19">
        <v>9</v>
      </c>
      <c r="D10" s="17" t="s">
        <v>30</v>
      </c>
      <c r="E10" s="17" t="str">
        <f t="shared" si="6"/>
        <v>CR0709.IN0600</v>
      </c>
      <c r="F10" s="17" t="s">
        <v>21</v>
      </c>
      <c r="G10" s="21" t="str">
        <f>_xlfn.XLOOKUP(E10,IfmPinRef!$B$2:$B$199,IfmPinRef!$H$2:$H$199)</f>
        <v>a55</v>
      </c>
      <c r="H10" s="21" t="str">
        <f>_xlfn.XLOOKUP(E10,IfmPinRef!$B$2:$B$199,IfmPinRef!$I$2:$I$199)</f>
        <v>A, BL</v>
      </c>
      <c r="I10" s="21" t="s">
        <v>22</v>
      </c>
      <c r="J10" s="21" t="str">
        <f t="shared" si="1"/>
        <v>CHASSIS.IN0600</v>
      </c>
      <c r="K10" s="19"/>
      <c r="L10" s="19" t="str">
        <f t="shared" si="7"/>
        <v>SPARE_IN0600</v>
      </c>
      <c r="M10" s="19"/>
      <c r="N10" s="20" t="str">
        <f t="shared" si="8"/>
        <v>SPARE_IN0600:IpCom; // CHASSIS IN0600</v>
      </c>
      <c r="O10" s="20" t="str">
        <f t="shared" si="9"/>
        <v>Machine_IO.Inputs.SPARE_IN0600</v>
      </c>
      <c r="P10" s="20" t="str">
        <f t="shared" si="10"/>
        <v>Machine_IO.Inputs.SPARE_IN0600.Dig</v>
      </c>
      <c r="Q10" s="20" t="str">
        <f t="shared" si="2"/>
        <v>Machine_IO.Inputs.SPARE_IN0600(); // CR0709.IN0600</v>
      </c>
      <c r="R10" s="20" t="str">
        <f t="shared" si="11"/>
        <v>Machine_IO.Inputs.SPARE_IN0600.Init('CHASSIS','SPARE_IN0600','IN0600','a55',NVL_IO_CHASSIS.All_Inputs.IN0600,Machine_IO.Node_CHASSIS);</v>
      </c>
      <c r="S10" s="20" t="str">
        <f t="shared" si="3"/>
        <v>: Mimic_Input_FB; // CHASSIS:IN0600</v>
      </c>
      <c r="T10" s="20" t="str">
        <f t="shared" si="4"/>
        <v>CHASSIS.IN0600();</v>
      </c>
      <c r="U10" s="20" t="str">
        <f t="shared" si="5"/>
        <v>CHASSIS.IN0600.Init(Machine_IO.Inputs.SPARE_IN0600);</v>
      </c>
    </row>
    <row r="11" spans="1:21" x14ac:dyDescent="0.2">
      <c r="A11" s="17" t="s">
        <v>91</v>
      </c>
      <c r="B11" s="17" t="s">
        <v>19</v>
      </c>
      <c r="C11" s="19">
        <v>10</v>
      </c>
      <c r="D11" s="17" t="s">
        <v>31</v>
      </c>
      <c r="E11" s="17" t="str">
        <f t="shared" si="6"/>
        <v>CR0709.IN0601</v>
      </c>
      <c r="F11" s="17" t="s">
        <v>21</v>
      </c>
      <c r="G11" s="21" t="str">
        <f>_xlfn.XLOOKUP(E11,IfmPinRef!$B$2:$B$199,IfmPinRef!$H$2:$H$199)</f>
        <v>a56</v>
      </c>
      <c r="H11" s="21" t="str">
        <f>_xlfn.XLOOKUP(E11,IfmPinRef!$B$2:$B$199,IfmPinRef!$I$2:$I$199)</f>
        <v>A, BL</v>
      </c>
      <c r="I11" s="21" t="s">
        <v>22</v>
      </c>
      <c r="J11" s="21" t="str">
        <f t="shared" si="1"/>
        <v>CHASSIS.IN0601</v>
      </c>
      <c r="K11" s="19"/>
      <c r="L11" s="19" t="str">
        <f t="shared" si="7"/>
        <v>SPARE_IN0601</v>
      </c>
      <c r="M11" s="19"/>
      <c r="N11" s="20" t="str">
        <f t="shared" si="8"/>
        <v>SPARE_IN0601:IpCom; // CHASSIS IN0601</v>
      </c>
      <c r="O11" s="20" t="str">
        <f t="shared" si="9"/>
        <v>Machine_IO.Inputs.SPARE_IN0601</v>
      </c>
      <c r="P11" s="20" t="str">
        <f t="shared" si="10"/>
        <v>Machine_IO.Inputs.SPARE_IN0601.Dig</v>
      </c>
      <c r="Q11" s="20" t="str">
        <f t="shared" si="2"/>
        <v>Machine_IO.Inputs.SPARE_IN0601(); // CR0709.IN0601</v>
      </c>
      <c r="R11" s="20" t="str">
        <f t="shared" si="11"/>
        <v>Machine_IO.Inputs.SPARE_IN0601.Init('CHASSIS','SPARE_IN0601','IN0601','a56',NVL_IO_CHASSIS.All_Inputs.IN0601,Machine_IO.Node_CHASSIS);</v>
      </c>
      <c r="S11" s="20" t="str">
        <f t="shared" si="3"/>
        <v>: Mimic_Input_FB; // CHASSIS:IN0601</v>
      </c>
      <c r="T11" s="20" t="str">
        <f t="shared" si="4"/>
        <v>CHASSIS.IN0601();</v>
      </c>
      <c r="U11" s="20" t="str">
        <f t="shared" si="5"/>
        <v>CHASSIS.IN0601.Init(Machine_IO.Inputs.SPARE_IN0601);</v>
      </c>
    </row>
    <row r="12" spans="1:21" s="2" customFormat="1" x14ac:dyDescent="0.2">
      <c r="A12" s="17" t="s">
        <v>91</v>
      </c>
      <c r="B12" s="17" t="s">
        <v>19</v>
      </c>
      <c r="C12" s="19">
        <v>11</v>
      </c>
      <c r="D12" s="17" t="s">
        <v>32</v>
      </c>
      <c r="E12" s="17" t="str">
        <f t="shared" si="6"/>
        <v>CR0709.IN0602</v>
      </c>
      <c r="F12" s="17" t="s">
        <v>21</v>
      </c>
      <c r="G12" s="21" t="str">
        <f>_xlfn.XLOOKUP(E12,IfmPinRef!$B$2:$B$199,IfmPinRef!$H$2:$H$199)</f>
        <v>a57</v>
      </c>
      <c r="H12" s="21" t="str">
        <f>_xlfn.XLOOKUP(E12,IfmPinRef!$B$2:$B$199,IfmPinRef!$I$2:$I$199)</f>
        <v>A, BL</v>
      </c>
      <c r="I12" s="21" t="s">
        <v>22</v>
      </c>
      <c r="J12" s="21" t="str">
        <f t="shared" si="1"/>
        <v>CHASSIS.IN0602</v>
      </c>
      <c r="K12" s="19"/>
      <c r="L12" s="19" t="str">
        <f t="shared" si="7"/>
        <v>SPARE_IN0602</v>
      </c>
      <c r="M12" s="19"/>
      <c r="N12" s="20" t="str">
        <f t="shared" si="8"/>
        <v>SPARE_IN0602:IpCom; // CHASSIS IN0602</v>
      </c>
      <c r="O12" s="20" t="str">
        <f t="shared" si="9"/>
        <v>Machine_IO.Inputs.SPARE_IN0602</v>
      </c>
      <c r="P12" s="20" t="str">
        <f t="shared" si="10"/>
        <v>Machine_IO.Inputs.SPARE_IN0602.Dig</v>
      </c>
      <c r="Q12" s="20" t="str">
        <f t="shared" si="2"/>
        <v>Machine_IO.Inputs.SPARE_IN0602(); // CR0709.IN0602</v>
      </c>
      <c r="R12" s="20" t="str">
        <f t="shared" si="11"/>
        <v>Machine_IO.Inputs.SPARE_IN0602.Init('CHASSIS','SPARE_IN0602','IN0602','a57',NVL_IO_CHASSIS.All_Inputs.IN0602,Machine_IO.Node_CHASSIS);</v>
      </c>
      <c r="S12" s="20" t="str">
        <f t="shared" si="3"/>
        <v>: Mimic_Input_FB; // CHASSIS:IN0602</v>
      </c>
      <c r="T12" s="20" t="str">
        <f t="shared" si="4"/>
        <v>CHASSIS.IN0602();</v>
      </c>
      <c r="U12" s="20" t="str">
        <f t="shared" si="5"/>
        <v>CHASSIS.IN0602.Init(Machine_IO.Inputs.SPARE_IN0602);</v>
      </c>
    </row>
    <row r="13" spans="1:21" s="2" customFormat="1" x14ac:dyDescent="0.2">
      <c r="A13" s="17" t="s">
        <v>91</v>
      </c>
      <c r="B13" s="17" t="s">
        <v>19</v>
      </c>
      <c r="C13" s="19">
        <v>12</v>
      </c>
      <c r="D13" s="17" t="s">
        <v>33</v>
      </c>
      <c r="E13" s="17" t="str">
        <f t="shared" si="6"/>
        <v>CR0709.IN0603</v>
      </c>
      <c r="F13" s="17" t="s">
        <v>21</v>
      </c>
      <c r="G13" s="21" t="str">
        <f>_xlfn.XLOOKUP(E13,IfmPinRef!$B$2:$B$199,IfmPinRef!$H$2:$H$199)</f>
        <v>a58</v>
      </c>
      <c r="H13" s="21" t="str">
        <f>_xlfn.XLOOKUP(E13,IfmPinRef!$B$2:$B$199,IfmPinRef!$I$2:$I$199)</f>
        <v>A, BL</v>
      </c>
      <c r="I13" s="21" t="s">
        <v>22</v>
      </c>
      <c r="J13" s="21" t="str">
        <f t="shared" si="1"/>
        <v>CHASSIS.IN0603</v>
      </c>
      <c r="K13" s="19"/>
      <c r="L13" s="19" t="str">
        <f t="shared" si="7"/>
        <v>SPARE_IN0603</v>
      </c>
      <c r="M13" s="19"/>
      <c r="N13" s="20" t="str">
        <f t="shared" si="8"/>
        <v>SPARE_IN0603:IpCom; // CHASSIS IN0603</v>
      </c>
      <c r="O13" s="20" t="str">
        <f t="shared" si="9"/>
        <v>Machine_IO.Inputs.SPARE_IN0603</v>
      </c>
      <c r="P13" s="20" t="str">
        <f t="shared" si="10"/>
        <v>Machine_IO.Inputs.SPARE_IN0603.Dig</v>
      </c>
      <c r="Q13" s="20" t="str">
        <f t="shared" si="2"/>
        <v>Machine_IO.Inputs.SPARE_IN0603(); // CR0709.IN0603</v>
      </c>
      <c r="R13" s="20" t="str">
        <f t="shared" si="11"/>
        <v>Machine_IO.Inputs.SPARE_IN0603.Init('CHASSIS','SPARE_IN0603','IN0603','a58',NVL_IO_CHASSIS.All_Inputs.IN0603,Machine_IO.Node_CHASSIS);</v>
      </c>
      <c r="S13" s="20" t="str">
        <f t="shared" si="3"/>
        <v>: Mimic_Input_FB; // CHASSIS:IN0603</v>
      </c>
      <c r="T13" s="20" t="str">
        <f t="shared" si="4"/>
        <v>CHASSIS.IN0603();</v>
      </c>
      <c r="U13" s="20" t="str">
        <f t="shared" si="5"/>
        <v>CHASSIS.IN0603.Init(Machine_IO.Inputs.SPARE_IN0603);</v>
      </c>
    </row>
    <row r="14" spans="1:21" s="2" customFormat="1" x14ac:dyDescent="0.2">
      <c r="A14" s="17" t="s">
        <v>91</v>
      </c>
      <c r="B14" s="17" t="s">
        <v>19</v>
      </c>
      <c r="C14" s="19">
        <v>13</v>
      </c>
      <c r="D14" s="17" t="s">
        <v>34</v>
      </c>
      <c r="E14" s="17" t="str">
        <f t="shared" si="6"/>
        <v>CR0709.IN0700</v>
      </c>
      <c r="F14" s="17" t="s">
        <v>21</v>
      </c>
      <c r="G14" s="21" t="str">
        <f>_xlfn.XLOOKUP(E14,IfmPinRef!$B$2:$B$199,IfmPinRef!$H$2:$H$199)</f>
        <v>a59</v>
      </c>
      <c r="H14" s="21" t="str">
        <f>_xlfn.XLOOKUP(E14,IfmPinRef!$B$2:$B$199,IfmPinRef!$I$2:$I$199)</f>
        <v>A, BL</v>
      </c>
      <c r="I14" s="21" t="s">
        <v>22</v>
      </c>
      <c r="J14" s="21" t="str">
        <f t="shared" si="1"/>
        <v>CHASSIS.IN0700</v>
      </c>
      <c r="K14" s="19"/>
      <c r="L14" s="19" t="str">
        <f t="shared" si="7"/>
        <v>SPARE_IN0700</v>
      </c>
      <c r="M14" s="19"/>
      <c r="N14" s="20" t="str">
        <f t="shared" si="8"/>
        <v>SPARE_IN0700:IpCom; // CHASSIS IN0700</v>
      </c>
      <c r="O14" s="20" t="str">
        <f t="shared" si="9"/>
        <v>Machine_IO.Inputs.SPARE_IN0700</v>
      </c>
      <c r="P14" s="20" t="str">
        <f t="shared" si="10"/>
        <v>Machine_IO.Inputs.SPARE_IN0700.Dig</v>
      </c>
      <c r="Q14" s="20" t="str">
        <f t="shared" si="2"/>
        <v>Machine_IO.Inputs.SPARE_IN0700(); // CR0709.IN0700</v>
      </c>
      <c r="R14" s="20" t="str">
        <f t="shared" si="11"/>
        <v>Machine_IO.Inputs.SPARE_IN0700.Init('CHASSIS','SPARE_IN0700','IN0700','a59',NVL_IO_CHASSIS.All_Inputs.IN0700,Machine_IO.Node_CHASSIS);</v>
      </c>
      <c r="S14" s="20" t="str">
        <f t="shared" si="3"/>
        <v>: Mimic_Input_FB; // CHASSIS:IN0700</v>
      </c>
      <c r="T14" s="20" t="str">
        <f t="shared" si="4"/>
        <v>CHASSIS.IN0700();</v>
      </c>
      <c r="U14" s="20" t="str">
        <f t="shared" si="5"/>
        <v>CHASSIS.IN0700.Init(Machine_IO.Inputs.SPARE_IN0700);</v>
      </c>
    </row>
    <row r="15" spans="1:21" s="2" customFormat="1" x14ac:dyDescent="0.2">
      <c r="A15" s="17" t="s">
        <v>91</v>
      </c>
      <c r="B15" s="17" t="s">
        <v>19</v>
      </c>
      <c r="C15" s="19">
        <v>14</v>
      </c>
      <c r="D15" s="17" t="s">
        <v>35</v>
      </c>
      <c r="E15" s="17" t="str">
        <f t="shared" si="6"/>
        <v>CR0709.IN0701</v>
      </c>
      <c r="F15" s="17" t="s">
        <v>21</v>
      </c>
      <c r="G15" s="21" t="str">
        <f>_xlfn.XLOOKUP(E15,IfmPinRef!$B$2:$B$199,IfmPinRef!$H$2:$H$199)</f>
        <v>a60</v>
      </c>
      <c r="H15" s="21" t="str">
        <f>_xlfn.XLOOKUP(E15,IfmPinRef!$B$2:$B$199,IfmPinRef!$I$2:$I$199)</f>
        <v>A, BL</v>
      </c>
      <c r="I15" s="21" t="s">
        <v>22</v>
      </c>
      <c r="J15" s="21" t="str">
        <f t="shared" si="1"/>
        <v>CHASSIS.IN0701</v>
      </c>
      <c r="K15" s="32" t="s">
        <v>202</v>
      </c>
      <c r="L15" s="19" t="str">
        <f t="shared" si="7"/>
        <v>RADIORHS_JACKLEGRAISE_REQ</v>
      </c>
      <c r="M15" s="19"/>
      <c r="N15" s="20" t="str">
        <f t="shared" si="8"/>
        <v>RADIORHS_JACKLEGRAISE_REQ:IpCom; // CHASSIS IN0701</v>
      </c>
      <c r="O15" s="20" t="str">
        <f t="shared" si="9"/>
        <v>Machine_IO.Inputs.RADIORHS_JACKLEGRAISE_REQ</v>
      </c>
      <c r="P15" s="20" t="str">
        <f t="shared" si="10"/>
        <v>Machine_IO.Inputs.RADIORHS_JACKLEGRAISE_REQ.Dig</v>
      </c>
      <c r="Q15" s="20" t="str">
        <f t="shared" si="2"/>
        <v>Machine_IO.Inputs.RADIORHS_JACKLEGRAISE_REQ(); // CR0709.IN0701</v>
      </c>
      <c r="R15" s="20" t="str">
        <f t="shared" si="11"/>
        <v>Machine_IO.Inputs.RADIORHS_JACKLEGRAISE_REQ.Init('CHASSIS','RADIORHS_JACKLEGRAISE_REQ','IN0701','a60',NVL_IO_CHASSIS.All_Inputs.IN0701,Machine_IO.Node_CHASSIS);</v>
      </c>
      <c r="S15" s="20" t="str">
        <f t="shared" si="3"/>
        <v>RadioRHS_JackLegRaise_Req: Mimic_Input_FB; // CHASSIS:IN0701</v>
      </c>
      <c r="T15" s="20" t="str">
        <f t="shared" si="4"/>
        <v>CHASSIS.IN0701();</v>
      </c>
      <c r="U15" s="20" t="str">
        <f t="shared" si="5"/>
        <v>CHASSIS.IN0701.Init(Machine_IO.Inputs.RADIORHS_JACKLEGRAISE_REQ);</v>
      </c>
    </row>
    <row r="16" spans="1:21" s="2" customFormat="1" x14ac:dyDescent="0.2">
      <c r="A16" s="17" t="s">
        <v>91</v>
      </c>
      <c r="B16" s="17" t="s">
        <v>19</v>
      </c>
      <c r="C16" s="19">
        <v>15</v>
      </c>
      <c r="D16" s="17" t="s">
        <v>36</v>
      </c>
      <c r="E16" s="17" t="str">
        <f t="shared" si="6"/>
        <v>CR0709.IN0702</v>
      </c>
      <c r="F16" s="17" t="s">
        <v>21</v>
      </c>
      <c r="G16" s="21" t="str">
        <f>_xlfn.XLOOKUP(E16,IfmPinRef!$B$2:$B$199,IfmPinRef!$H$2:$H$199)</f>
        <v>a61</v>
      </c>
      <c r="H16" s="21" t="str">
        <f>_xlfn.XLOOKUP(E16,IfmPinRef!$B$2:$B$199,IfmPinRef!$I$2:$I$199)</f>
        <v>A, BL</v>
      </c>
      <c r="I16" s="21" t="s">
        <v>22</v>
      </c>
      <c r="J16" s="21" t="str">
        <f t="shared" si="1"/>
        <v>CHASSIS.IN0702</v>
      </c>
      <c r="K16" s="19" t="s">
        <v>203</v>
      </c>
      <c r="L16" s="19" t="str">
        <f t="shared" si="7"/>
        <v>RHS_TROMMELDOORSW</v>
      </c>
      <c r="M16" s="19"/>
      <c r="N16" s="20" t="str">
        <f t="shared" si="8"/>
        <v>RHS_TROMMELDOORSW:IpCom; // CHASSIS IN0702</v>
      </c>
      <c r="O16" s="20" t="str">
        <f t="shared" si="9"/>
        <v>Machine_IO.Inputs.RHS_TROMMELDOORSW</v>
      </c>
      <c r="P16" s="20" t="str">
        <f t="shared" si="10"/>
        <v>Machine_IO.Inputs.RHS_TROMMELDOORSW.Dig</v>
      </c>
      <c r="Q16" s="20" t="str">
        <f t="shared" si="2"/>
        <v>Machine_IO.Inputs.RHS_TROMMELDOORSW(); // CR0709.IN0702</v>
      </c>
      <c r="R16" s="20" t="str">
        <f t="shared" si="11"/>
        <v>Machine_IO.Inputs.RHS_TROMMELDOORSW.Init('CHASSIS','RHS_TROMMELDOORSW','IN0702','a61',NVL_IO_CHASSIS.All_Inputs.IN0702,Machine_IO.Node_CHASSIS);</v>
      </c>
      <c r="S16" s="20" t="str">
        <f t="shared" si="3"/>
        <v>RHS_TrommelDoorSw: Mimic_Input_FB; // CHASSIS:IN0702</v>
      </c>
      <c r="T16" s="20" t="str">
        <f t="shared" si="4"/>
        <v>CHASSIS.IN0702();</v>
      </c>
      <c r="U16" s="20" t="str">
        <f t="shared" si="5"/>
        <v>CHASSIS.IN0702.Init(Machine_IO.Inputs.RHS_TROMMELDOORSW);</v>
      </c>
    </row>
    <row r="17" spans="1:21" s="2" customFormat="1" x14ac:dyDescent="0.2">
      <c r="A17" s="17" t="s">
        <v>91</v>
      </c>
      <c r="B17" s="17" t="s">
        <v>19</v>
      </c>
      <c r="C17" s="19">
        <v>16</v>
      </c>
      <c r="D17" s="17" t="s">
        <v>37</v>
      </c>
      <c r="E17" s="17" t="str">
        <f t="shared" si="6"/>
        <v>CR0709.IN0703</v>
      </c>
      <c r="F17" s="17" t="s">
        <v>21</v>
      </c>
      <c r="G17" s="21" t="str">
        <f>_xlfn.XLOOKUP(E17,IfmPinRef!$B$2:$B$199,IfmPinRef!$H$2:$H$199)</f>
        <v>a62</v>
      </c>
      <c r="H17" s="21" t="str">
        <f>_xlfn.XLOOKUP(E17,IfmPinRef!$B$2:$B$199,IfmPinRef!$I$2:$I$199)</f>
        <v>A, BL</v>
      </c>
      <c r="I17" s="21" t="s">
        <v>22</v>
      </c>
      <c r="J17" s="21" t="str">
        <f t="shared" si="1"/>
        <v>CHASSIS.IN0703</v>
      </c>
      <c r="K17" s="19" t="s">
        <v>204</v>
      </c>
      <c r="L17" s="19" t="str">
        <f t="shared" si="7"/>
        <v>LHS_TROMMELDOORSW</v>
      </c>
      <c r="M17" s="19"/>
      <c r="N17" s="20" t="str">
        <f t="shared" si="8"/>
        <v>LHS_TROMMELDOORSW:IpCom; // CHASSIS IN0703</v>
      </c>
      <c r="O17" s="20" t="str">
        <f t="shared" si="9"/>
        <v>Machine_IO.Inputs.LHS_TROMMELDOORSW</v>
      </c>
      <c r="P17" s="20" t="str">
        <f t="shared" si="10"/>
        <v>Machine_IO.Inputs.LHS_TROMMELDOORSW.Dig</v>
      </c>
      <c r="Q17" s="20" t="str">
        <f t="shared" si="2"/>
        <v>Machine_IO.Inputs.LHS_TROMMELDOORSW(); // CR0709.IN0703</v>
      </c>
      <c r="R17" s="20" t="str">
        <f t="shared" si="11"/>
        <v>Machine_IO.Inputs.LHS_TROMMELDOORSW.Init('CHASSIS','LHS_TROMMELDOORSW','IN0703','a62',NVL_IO_CHASSIS.All_Inputs.IN0703,Machine_IO.Node_CHASSIS);</v>
      </c>
      <c r="S17" s="20" t="str">
        <f t="shared" si="3"/>
        <v>LHS_TrommelDoorSw: Mimic_Input_FB; // CHASSIS:IN0703</v>
      </c>
      <c r="T17" s="20" t="str">
        <f t="shared" si="4"/>
        <v>CHASSIS.IN0703();</v>
      </c>
      <c r="U17" s="20" t="str">
        <f t="shared" si="5"/>
        <v>CHASSIS.IN0703.Init(Machine_IO.Inputs.LHS_TROMMELDOORSW);</v>
      </c>
    </row>
    <row r="18" spans="1:21" s="2" customFormat="1" x14ac:dyDescent="0.2">
      <c r="A18" s="17" t="s">
        <v>91</v>
      </c>
      <c r="B18" s="17" t="s">
        <v>19</v>
      </c>
      <c r="C18" s="19">
        <v>17</v>
      </c>
      <c r="D18" s="17" t="s">
        <v>38</v>
      </c>
      <c r="E18" s="17" t="str">
        <f t="shared" si="6"/>
        <v>CR0709.IN0000</v>
      </c>
      <c r="F18" s="17" t="s">
        <v>21</v>
      </c>
      <c r="G18" s="21" t="str">
        <f>_xlfn.XLOOKUP(E18,IfmPinRef!$B$2:$B$199,IfmPinRef!$H$2:$H$199)</f>
        <v>a25</v>
      </c>
      <c r="H18" s="21" t="str">
        <f>_xlfn.XLOOKUP(E18,IfmPinRef!$B$2:$B$199,IfmPinRef!$I$2:$I$199)</f>
        <v>BL/H, FRQL/H</v>
      </c>
      <c r="I18" s="21" t="s">
        <v>22</v>
      </c>
      <c r="J18" s="21" t="str">
        <f t="shared" si="1"/>
        <v>CHASSIS.IN0000</v>
      </c>
      <c r="K18" s="19" t="s">
        <v>205</v>
      </c>
      <c r="L18" s="19" t="str">
        <f t="shared" si="7"/>
        <v>HYDOILTEMP_SW</v>
      </c>
      <c r="M18" s="19"/>
      <c r="N18" s="20" t="str">
        <f t="shared" si="8"/>
        <v>HYDOILTEMP_SW:IpCom; // CHASSIS IN0000</v>
      </c>
      <c r="O18" s="20" t="str">
        <f t="shared" si="9"/>
        <v>Machine_IO.Inputs.HYDOILTEMP_SW</v>
      </c>
      <c r="P18" s="20" t="str">
        <f t="shared" si="10"/>
        <v>Machine_IO.Inputs.HYDOILTEMP_SW.Dig</v>
      </c>
      <c r="Q18" s="20" t="str">
        <f t="shared" si="2"/>
        <v>Machine_IO.Inputs.HYDOILTEMP_SW(); // CR0709.IN0000</v>
      </c>
      <c r="R18" s="20" t="str">
        <f t="shared" si="11"/>
        <v>Machine_IO.Inputs.HYDOILTEMP_SW.Init('CHASSIS','HYDOILTEMP_SW','IN0000','a25',NVL_IO_CHASSIS.All_Inputs.IN0000,Machine_IO.Node_CHASSIS);</v>
      </c>
      <c r="S18" s="20" t="str">
        <f t="shared" si="3"/>
        <v>HydOilTemp_Sw: Mimic_Input_FB; // CHASSIS:IN0000</v>
      </c>
      <c r="T18" s="20" t="str">
        <f t="shared" si="4"/>
        <v>CHASSIS.IN0000();</v>
      </c>
      <c r="U18" s="20" t="str">
        <f t="shared" si="5"/>
        <v>CHASSIS.IN0000.Init(Machine_IO.Inputs.HYDOILTEMP_SW);</v>
      </c>
    </row>
    <row r="19" spans="1:21" s="2" customFormat="1" x14ac:dyDescent="0.2">
      <c r="A19" s="17" t="s">
        <v>91</v>
      </c>
      <c r="B19" s="17" t="s">
        <v>19</v>
      </c>
      <c r="C19" s="19">
        <v>18</v>
      </c>
      <c r="D19" s="17" t="s">
        <v>40</v>
      </c>
      <c r="E19" s="17" t="str">
        <f t="shared" si="6"/>
        <v>CR0709.IN0001</v>
      </c>
      <c r="F19" s="17" t="s">
        <v>21</v>
      </c>
      <c r="G19" s="21" t="str">
        <f>_xlfn.XLOOKUP(E19,IfmPinRef!$B$2:$B$199,IfmPinRef!$H$2:$H$199)</f>
        <v>a26</v>
      </c>
      <c r="H19" s="21" t="str">
        <f>_xlfn.XLOOKUP(E19,IfmPinRef!$B$2:$B$199,IfmPinRef!$I$2:$I$199)</f>
        <v>BL/H, FRQL/H</v>
      </c>
      <c r="I19" s="21" t="s">
        <v>22</v>
      </c>
      <c r="J19" s="21" t="str">
        <f t="shared" si="1"/>
        <v>CHASSIS.IN0001</v>
      </c>
      <c r="K19" s="19" t="s">
        <v>206</v>
      </c>
      <c r="L19" s="19" t="str">
        <f t="shared" si="7"/>
        <v>HYDOILLEVEL_SW</v>
      </c>
      <c r="M19" s="19"/>
      <c r="N19" s="20" t="str">
        <f t="shared" si="8"/>
        <v>HYDOILLEVEL_SW:IpCom; // CHASSIS IN0001</v>
      </c>
      <c r="O19" s="20" t="str">
        <f t="shared" si="9"/>
        <v>Machine_IO.Inputs.HYDOILLEVEL_SW</v>
      </c>
      <c r="P19" s="20" t="str">
        <f t="shared" si="10"/>
        <v>Machine_IO.Inputs.HYDOILLEVEL_SW.Dig</v>
      </c>
      <c r="Q19" s="20" t="str">
        <f t="shared" si="2"/>
        <v>Machine_IO.Inputs.HYDOILLEVEL_SW(); // CR0709.IN0001</v>
      </c>
      <c r="R19" s="20" t="str">
        <f t="shared" si="11"/>
        <v>Machine_IO.Inputs.HYDOILLEVEL_SW.Init('CHASSIS','HYDOILLEVEL_SW','IN0001','a26',NVL_IO_CHASSIS.All_Inputs.IN0001,Machine_IO.Node_CHASSIS);</v>
      </c>
      <c r="S19" s="20" t="str">
        <f t="shared" si="3"/>
        <v>HydOilLevel_Sw: Mimic_Input_FB; // CHASSIS:IN0001</v>
      </c>
      <c r="T19" s="20" t="str">
        <f t="shared" si="4"/>
        <v>CHASSIS.IN0001();</v>
      </c>
      <c r="U19" s="20" t="str">
        <f t="shared" si="5"/>
        <v>CHASSIS.IN0001.Init(Machine_IO.Inputs.HYDOILLEVEL_SW);</v>
      </c>
    </row>
    <row r="20" spans="1:21" s="2" customFormat="1" x14ac:dyDescent="0.2">
      <c r="A20" s="17" t="s">
        <v>91</v>
      </c>
      <c r="B20" s="17" t="s">
        <v>19</v>
      </c>
      <c r="C20" s="19">
        <v>19</v>
      </c>
      <c r="D20" s="17" t="s">
        <v>41</v>
      </c>
      <c r="E20" s="17" t="str">
        <f t="shared" si="6"/>
        <v>CR0709.IN0002</v>
      </c>
      <c r="F20" s="17" t="s">
        <v>21</v>
      </c>
      <c r="G20" s="21" t="str">
        <f>_xlfn.XLOOKUP(E20,IfmPinRef!$B$2:$B$199,IfmPinRef!$H$2:$H$199)</f>
        <v>a27</v>
      </c>
      <c r="H20" s="21" t="str">
        <f>_xlfn.XLOOKUP(E20,IfmPinRef!$B$2:$B$199,IfmPinRef!$I$2:$I$199)</f>
        <v>BL/H, FRQL/H</v>
      </c>
      <c r="I20" s="21" t="s">
        <v>22</v>
      </c>
      <c r="J20" s="21" t="str">
        <f t="shared" si="1"/>
        <v>CHASSIS.IN0002</v>
      </c>
      <c r="K20" s="19" t="s">
        <v>207</v>
      </c>
      <c r="L20" s="19" t="str">
        <f t="shared" si="7"/>
        <v>THERMOSTAT</v>
      </c>
      <c r="M20" s="19"/>
      <c r="N20" s="20" t="str">
        <f t="shared" si="8"/>
        <v>THERMOSTAT:IpCom; // CHASSIS IN0002</v>
      </c>
      <c r="O20" s="20" t="str">
        <f t="shared" si="9"/>
        <v>Machine_IO.Inputs.THERMOSTAT</v>
      </c>
      <c r="P20" s="20" t="str">
        <f t="shared" si="10"/>
        <v>Machine_IO.Inputs.THERMOSTAT.Dig</v>
      </c>
      <c r="Q20" s="20" t="str">
        <f t="shared" si="2"/>
        <v>Machine_IO.Inputs.THERMOSTAT(); // CR0709.IN0002</v>
      </c>
      <c r="R20" s="20" t="str">
        <f t="shared" si="11"/>
        <v>Machine_IO.Inputs.THERMOSTAT.Init('CHASSIS','THERMOSTAT','IN0002','a27',NVL_IO_CHASSIS.All_Inputs.IN0002,Machine_IO.Node_CHASSIS);</v>
      </c>
      <c r="S20" s="20" t="str">
        <f t="shared" si="3"/>
        <v>ThermoStat: Mimic_Input_FB; // CHASSIS:IN0002</v>
      </c>
      <c r="T20" s="20" t="str">
        <f t="shared" si="4"/>
        <v>CHASSIS.IN0002();</v>
      </c>
      <c r="U20" s="20" t="str">
        <f t="shared" si="5"/>
        <v>CHASSIS.IN0002.Init(Machine_IO.Inputs.THERMOSTAT);</v>
      </c>
    </row>
    <row r="21" spans="1:21" s="2" customFormat="1" x14ac:dyDescent="0.2">
      <c r="A21" s="17" t="s">
        <v>91</v>
      </c>
      <c r="B21" s="17" t="s">
        <v>19</v>
      </c>
      <c r="C21" s="19">
        <v>20</v>
      </c>
      <c r="D21" s="17" t="s">
        <v>42</v>
      </c>
      <c r="E21" s="17" t="str">
        <f t="shared" si="6"/>
        <v>CR0709.IN0003</v>
      </c>
      <c r="F21" s="17" t="s">
        <v>21</v>
      </c>
      <c r="G21" s="21" t="str">
        <f>_xlfn.XLOOKUP(E21,IfmPinRef!$B$2:$B$199,IfmPinRef!$H$2:$H$199)</f>
        <v>a28</v>
      </c>
      <c r="H21" s="21" t="str">
        <f>_xlfn.XLOOKUP(E21,IfmPinRef!$B$2:$B$199,IfmPinRef!$I$2:$I$199)</f>
        <v>BL/H, FRQL/H</v>
      </c>
      <c r="I21" s="21" t="s">
        <v>22</v>
      </c>
      <c r="J21" s="21" t="str">
        <f t="shared" si="1"/>
        <v>CHASSIS.IN0003</v>
      </c>
      <c r="K21" s="32" t="s">
        <v>208</v>
      </c>
      <c r="L21" s="19" t="str">
        <f t="shared" si="7"/>
        <v>RADIORHS_JACKLEGLOWER_REQ</v>
      </c>
      <c r="M21" s="19"/>
      <c r="N21" s="20" t="str">
        <f t="shared" si="8"/>
        <v>RADIORHS_JACKLEGLOWER_REQ:IpCom; // CHASSIS IN0003</v>
      </c>
      <c r="O21" s="20" t="str">
        <f t="shared" si="9"/>
        <v>Machine_IO.Inputs.RADIORHS_JACKLEGLOWER_REQ</v>
      </c>
      <c r="P21" s="20" t="str">
        <f t="shared" si="10"/>
        <v>Machine_IO.Inputs.RADIORHS_JACKLEGLOWER_REQ.Dig</v>
      </c>
      <c r="Q21" s="20">
        <v>43</v>
      </c>
      <c r="R21" s="20" t="str">
        <f t="shared" si="11"/>
        <v>Machine_IO.Inputs.RADIORHS_JACKLEGLOWER_REQ.Init('CHASSIS','RADIORHS_JACKLEGLOWER_REQ','IN0003','a28',NVL_IO_CHASSIS.All_Inputs.IN0003,Machine_IO.Node_CHASSIS);</v>
      </c>
      <c r="S21" s="20" t="str">
        <f t="shared" si="3"/>
        <v>RadioRHS_JackLegLower_Req: Mimic_Input_FB; // CHASSIS:IN0003</v>
      </c>
      <c r="T21" s="20" t="str">
        <f t="shared" si="4"/>
        <v>CHASSIS.IN0003();</v>
      </c>
      <c r="U21" s="20" t="str">
        <f t="shared" si="5"/>
        <v>CHASSIS.IN0003.Init(Machine_IO.Inputs.RADIORHS_JACKLEGLOWER_REQ);</v>
      </c>
    </row>
    <row r="22" spans="1:21" x14ac:dyDescent="0.2">
      <c r="A22" s="17" t="s">
        <v>91</v>
      </c>
      <c r="B22" s="17" t="s">
        <v>19</v>
      </c>
      <c r="C22" s="19">
        <v>21</v>
      </c>
      <c r="D22" s="17" t="s">
        <v>43</v>
      </c>
      <c r="E22" s="17" t="str">
        <f t="shared" si="6"/>
        <v>CR0709.IN0500</v>
      </c>
      <c r="F22" s="17" t="s">
        <v>21</v>
      </c>
      <c r="G22" s="21" t="str">
        <f>_xlfn.XLOOKUP(E22,IfmPinRef!$B$2:$B$199,IfmPinRef!$H$2:$H$199)</f>
        <v>a40</v>
      </c>
      <c r="H22" s="21" t="str">
        <f>_xlfn.XLOOKUP(E22,IfmPinRef!$B$2:$B$199,IfmPinRef!$I$2:$I$199)</f>
        <v>BL/H, FRQL/H</v>
      </c>
      <c r="I22" s="21" t="s">
        <v>22</v>
      </c>
      <c r="J22" s="21" t="str">
        <f t="shared" si="1"/>
        <v>CHASSIS.IN0500</v>
      </c>
      <c r="K22" s="32" t="s">
        <v>209</v>
      </c>
      <c r="L22" s="19" t="str">
        <f t="shared" si="7"/>
        <v>RADIOLHS_JACKLEGRAISE_REQ</v>
      </c>
      <c r="M22" s="19"/>
      <c r="N22" s="20" t="str">
        <f t="shared" si="8"/>
        <v>RADIOLHS_JACKLEGRAISE_REQ:IpCom; // CHASSIS IN0500</v>
      </c>
      <c r="O22" s="20" t="str">
        <f t="shared" si="9"/>
        <v>Machine_IO.Inputs.RADIOLHS_JACKLEGRAISE_REQ</v>
      </c>
      <c r="P22" s="20" t="str">
        <f t="shared" si="10"/>
        <v>Machine_IO.Inputs.RADIOLHS_JACKLEGRAISE_REQ.Dig</v>
      </c>
      <c r="Q22" s="20" t="str">
        <f t="shared" si="2"/>
        <v>Machine_IO.Inputs.RADIOLHS_JACKLEGRAISE_REQ(); // CR0709.IN0500</v>
      </c>
      <c r="R22" s="20" t="str">
        <f t="shared" si="11"/>
        <v>Machine_IO.Inputs.RADIOLHS_JACKLEGRAISE_REQ.Init('CHASSIS','RADIOLHS_JACKLEGRAISE_REQ','IN0500','a40',NVL_IO_CHASSIS.All_Inputs.IN0500,Machine_IO.Node_CHASSIS);</v>
      </c>
      <c r="S22" s="20" t="str">
        <f t="shared" si="3"/>
        <v>RadioLHS_JackLegRaise_Req: Mimic_Input_FB; // CHASSIS:IN0500</v>
      </c>
      <c r="T22" s="20" t="str">
        <f t="shared" si="4"/>
        <v>CHASSIS.IN0500();</v>
      </c>
      <c r="U22" s="20" t="str">
        <f t="shared" si="5"/>
        <v>CHASSIS.IN0500.Init(Machine_IO.Inputs.RADIOLHS_JACKLEGRAISE_REQ);</v>
      </c>
    </row>
    <row r="23" spans="1:21" x14ac:dyDescent="0.2">
      <c r="A23" s="17" t="s">
        <v>91</v>
      </c>
      <c r="B23" s="17" t="s">
        <v>19</v>
      </c>
      <c r="C23" s="19">
        <v>22</v>
      </c>
      <c r="D23" s="17" t="s">
        <v>44</v>
      </c>
      <c r="E23" s="17" t="str">
        <f t="shared" si="6"/>
        <v>CR0709.IN0501</v>
      </c>
      <c r="F23" s="17" t="s">
        <v>21</v>
      </c>
      <c r="G23" s="21" t="str">
        <f>_xlfn.XLOOKUP(E23,IfmPinRef!$B$2:$B$199,IfmPinRef!$H$2:$H$199)</f>
        <v>a41</v>
      </c>
      <c r="H23" s="21" t="str">
        <f>_xlfn.XLOOKUP(E23,IfmPinRef!$B$2:$B$199,IfmPinRef!$I$2:$I$199)</f>
        <v>BL/H, FRQL/H</v>
      </c>
      <c r="I23" s="21" t="s">
        <v>22</v>
      </c>
      <c r="J23" s="21" t="str">
        <f t="shared" si="1"/>
        <v>CHASSIS.IN0501</v>
      </c>
      <c r="K23" s="32" t="s">
        <v>210</v>
      </c>
      <c r="L23" s="19" t="str">
        <f t="shared" si="7"/>
        <v>RADIOLHS_JACKLEGLOWER_REQ</v>
      </c>
      <c r="M23" s="19"/>
      <c r="N23" s="20" t="str">
        <f t="shared" si="8"/>
        <v>RADIOLHS_JACKLEGLOWER_REQ:IpCom; // CHASSIS IN0501</v>
      </c>
      <c r="O23" s="20" t="str">
        <f t="shared" si="9"/>
        <v>Machine_IO.Inputs.RADIOLHS_JACKLEGLOWER_REQ</v>
      </c>
      <c r="P23" s="20" t="str">
        <f t="shared" si="10"/>
        <v>Machine_IO.Inputs.RADIOLHS_JACKLEGLOWER_REQ.Dig</v>
      </c>
      <c r="Q23" s="20" t="str">
        <f t="shared" si="2"/>
        <v>Machine_IO.Inputs.RADIOLHS_JACKLEGLOWER_REQ(); // CR0709.IN0501</v>
      </c>
      <c r="R23" s="20" t="str">
        <f t="shared" si="11"/>
        <v>Machine_IO.Inputs.RADIOLHS_JACKLEGLOWER_REQ.Init('CHASSIS','RADIOLHS_JACKLEGLOWER_REQ','IN0501','a41',NVL_IO_CHASSIS.All_Inputs.IN0501,Machine_IO.Node_CHASSIS);</v>
      </c>
      <c r="S23" s="20" t="str">
        <f t="shared" si="3"/>
        <v>RadioLHS_JackLegLower_Req: Mimic_Input_FB; // CHASSIS:IN0501</v>
      </c>
      <c r="T23" s="20" t="str">
        <f t="shared" si="4"/>
        <v>CHASSIS.IN0501();</v>
      </c>
      <c r="U23" s="20" t="str">
        <f t="shared" si="5"/>
        <v>CHASSIS.IN0501.Init(Machine_IO.Inputs.RADIOLHS_JACKLEGLOWER_REQ);</v>
      </c>
    </row>
    <row r="24" spans="1:21" x14ac:dyDescent="0.2">
      <c r="A24" s="17" t="s">
        <v>91</v>
      </c>
      <c r="B24" s="17" t="s">
        <v>19</v>
      </c>
      <c r="C24" s="19">
        <v>23</v>
      </c>
      <c r="D24" s="17" t="s">
        <v>45</v>
      </c>
      <c r="E24" s="17" t="str">
        <f t="shared" si="6"/>
        <v>CR0709.IN0502</v>
      </c>
      <c r="F24" s="17" t="s">
        <v>21</v>
      </c>
      <c r="G24" s="21" t="str">
        <f>_xlfn.XLOOKUP(E24,IfmPinRef!$B$2:$B$199,IfmPinRef!$H$2:$H$199)</f>
        <v>a42</v>
      </c>
      <c r="H24" s="21" t="str">
        <f>_xlfn.XLOOKUP(E24,IfmPinRef!$B$2:$B$199,IfmPinRef!$I$2:$I$199)</f>
        <v>BL/H, FRQL/H</v>
      </c>
      <c r="I24" s="21" t="s">
        <v>22</v>
      </c>
      <c r="J24" s="21" t="str">
        <f t="shared" si="1"/>
        <v>CHASSIS.IN0502</v>
      </c>
      <c r="K24" s="32" t="s">
        <v>545</v>
      </c>
      <c r="L24" s="19" t="str">
        <f t="shared" si="7"/>
        <v>SIDECONVRAISE_RADIALMOVELEFT</v>
      </c>
      <c r="M24" s="19"/>
      <c r="N24" s="20" t="str">
        <f t="shared" si="8"/>
        <v>SIDECONVRAISE_RADIALMOVELEFT:IpCom; // CHASSIS IN0502</v>
      </c>
      <c r="O24" s="20" t="str">
        <f t="shared" si="9"/>
        <v>Machine_IO.Inputs.SIDECONVRAISE_RADIALMOVELEFT</v>
      </c>
      <c r="P24" s="20" t="str">
        <f t="shared" si="10"/>
        <v>Machine_IO.Inputs.SIDECONVRAISE_RADIALMOVELEFT.Dig</v>
      </c>
      <c r="Q24" s="20" t="str">
        <f t="shared" si="2"/>
        <v>Machine_IO.Inputs.SIDECONVRAISE_RADIALMOVELEFT(); // CR0709.IN0502</v>
      </c>
      <c r="R24" s="20" t="str">
        <f t="shared" si="11"/>
        <v>Machine_IO.Inputs.SIDECONVRAISE_RADIALMOVELEFT.Init('CHASSIS','SIDECONVRAISE_RADIALMOVELEFT','IN0502','a42',NVL_IO_CHASSIS.All_Inputs.IN0502,Machine_IO.Node_CHASSIS);</v>
      </c>
      <c r="S24" s="20" t="str">
        <f t="shared" si="3"/>
        <v>SideConvRaise_RadialMoveLeft: Mimic_Input_FB; // CHASSIS:IN0502</v>
      </c>
      <c r="T24" s="20" t="str">
        <f t="shared" si="4"/>
        <v>CHASSIS.IN0502();</v>
      </c>
      <c r="U24" s="20" t="str">
        <f t="shared" si="5"/>
        <v>CHASSIS.IN0502.Init(Machine_IO.Inputs.SIDECONVRAISE_RADIALMOVELEFT);</v>
      </c>
    </row>
    <row r="25" spans="1:21" x14ac:dyDescent="0.2">
      <c r="A25" s="17" t="s">
        <v>91</v>
      </c>
      <c r="B25" s="17" t="s">
        <v>19</v>
      </c>
      <c r="C25" s="19">
        <v>24</v>
      </c>
      <c r="D25" s="17" t="s">
        <v>46</v>
      </c>
      <c r="E25" s="17" t="str">
        <f t="shared" si="6"/>
        <v>CR0709.IN0503</v>
      </c>
      <c r="F25" s="17" t="s">
        <v>21</v>
      </c>
      <c r="G25" s="21" t="str">
        <f>_xlfn.XLOOKUP(E25,IfmPinRef!$B$2:$B$199,IfmPinRef!$H$2:$H$199)</f>
        <v>a43</v>
      </c>
      <c r="H25" s="21" t="str">
        <f>_xlfn.XLOOKUP(E25,IfmPinRef!$B$2:$B$199,IfmPinRef!$I$2:$I$199)</f>
        <v>BL/H, FRQL/H</v>
      </c>
      <c r="I25" s="21" t="s">
        <v>22</v>
      </c>
      <c r="J25" s="21" t="str">
        <f t="shared" si="1"/>
        <v>CHASSIS.IN0503</v>
      </c>
      <c r="K25" s="32" t="s">
        <v>546</v>
      </c>
      <c r="L25" s="19" t="str">
        <f t="shared" si="7"/>
        <v>SIDECONVLOWER_RADIALMOVERIGHT</v>
      </c>
      <c r="M25" s="19"/>
      <c r="N25" s="20" t="str">
        <f t="shared" si="8"/>
        <v>SIDECONVLOWER_RADIALMOVERIGHT:IpCom; // CHASSIS IN0503</v>
      </c>
      <c r="O25" s="20" t="str">
        <f t="shared" si="9"/>
        <v>Machine_IO.Inputs.SIDECONVLOWER_RADIALMOVERIGHT</v>
      </c>
      <c r="P25" s="20" t="str">
        <f t="shared" si="10"/>
        <v>Machine_IO.Inputs.SIDECONVLOWER_RADIALMOVERIGHT.Dig</v>
      </c>
      <c r="Q25" s="20" t="str">
        <f t="shared" si="2"/>
        <v>Machine_IO.Inputs.SIDECONVLOWER_RADIALMOVERIGHT(); // CR0709.IN0503</v>
      </c>
      <c r="R25" s="20" t="str">
        <f t="shared" si="11"/>
        <v>Machine_IO.Inputs.SIDECONVLOWER_RADIALMOVERIGHT.Init('CHASSIS','SIDECONVLOWER_RADIALMOVERIGHT','IN0503','a43',NVL_IO_CHASSIS.All_Inputs.IN0503,Machine_IO.Node_CHASSIS);</v>
      </c>
      <c r="S25" s="20" t="str">
        <f t="shared" si="3"/>
        <v>SideConvLower_RadialMoveRight: Mimic_Input_FB; // CHASSIS:IN0503</v>
      </c>
      <c r="T25" s="20" t="str">
        <f t="shared" si="4"/>
        <v>CHASSIS.IN0503();</v>
      </c>
      <c r="U25" s="20" t="str">
        <f t="shared" si="5"/>
        <v>CHASSIS.IN0503.Init(Machine_IO.Inputs.SIDECONVLOWER_RADIALMOVERIGHT);</v>
      </c>
    </row>
    <row r="26" spans="1:21" s="2" customFormat="1" x14ac:dyDescent="0.2">
      <c r="A26" s="17" t="s">
        <v>91</v>
      </c>
      <c r="B26" s="17" t="s">
        <v>19</v>
      </c>
      <c r="C26" s="19">
        <v>25</v>
      </c>
      <c r="D26" s="17" t="s">
        <v>47</v>
      </c>
      <c r="E26" s="17" t="str">
        <f t="shared" si="6"/>
        <v>CR0709.IN0400</v>
      </c>
      <c r="F26" s="17" t="s">
        <v>21</v>
      </c>
      <c r="G26" s="21" t="str">
        <f>_xlfn.XLOOKUP(E26,IfmPinRef!$B$2:$B$199,IfmPinRef!$H$2:$H$199)</f>
        <v>a46</v>
      </c>
      <c r="H26" s="21" t="str">
        <f>_xlfn.XLOOKUP(E26,IfmPinRef!$B$2:$B$199,IfmPinRef!$I$2:$I$199)</f>
        <v>R, BL (10 kΩ)</v>
      </c>
      <c r="I26" s="21" t="s">
        <v>22</v>
      </c>
      <c r="J26" s="21" t="str">
        <f t="shared" si="1"/>
        <v>CHASSIS.IN0400</v>
      </c>
      <c r="K26" s="19"/>
      <c r="L26" s="19" t="str">
        <f t="shared" si="7"/>
        <v>SPARE_IN0400</v>
      </c>
      <c r="M26" s="19"/>
      <c r="N26" s="20" t="str">
        <f t="shared" si="8"/>
        <v>SPARE_IN0400:IpCom; // CHASSIS IN0400</v>
      </c>
      <c r="O26" s="20" t="str">
        <f t="shared" si="9"/>
        <v>Machine_IO.Inputs.SPARE_IN0400</v>
      </c>
      <c r="P26" s="20" t="str">
        <f t="shared" si="10"/>
        <v>Machine_IO.Inputs.SPARE_IN0400.Dig</v>
      </c>
      <c r="Q26" s="20" t="str">
        <f t="shared" si="2"/>
        <v>Machine_IO.Inputs.SPARE_IN0400(); // CR0709.IN0400</v>
      </c>
      <c r="R26" s="20" t="str">
        <f t="shared" si="11"/>
        <v>Machine_IO.Inputs.SPARE_IN0400.Init('CHASSIS','SPARE_IN0400','IN0400','a46',NVL_IO_CHASSIS.All_Inputs.IN0400,Machine_IO.Node_CHASSIS);</v>
      </c>
      <c r="S26" s="20" t="str">
        <f t="shared" si="3"/>
        <v>: Mimic_Input_FB; // CHASSIS:IN0400</v>
      </c>
      <c r="T26" s="20" t="str">
        <f t="shared" si="4"/>
        <v>CHASSIS.IN0400();</v>
      </c>
      <c r="U26" s="20" t="str">
        <f t="shared" si="5"/>
        <v>CHASSIS.IN0400.Init(Machine_IO.Inputs.SPARE_IN0400);</v>
      </c>
    </row>
    <row r="27" spans="1:21" s="2" customFormat="1" x14ac:dyDescent="0.2">
      <c r="A27" s="17" t="s">
        <v>91</v>
      </c>
      <c r="B27" s="17" t="s">
        <v>19</v>
      </c>
      <c r="C27" s="19">
        <v>26</v>
      </c>
      <c r="D27" s="17" t="s">
        <v>48</v>
      </c>
      <c r="E27" s="17" t="str">
        <f t="shared" si="6"/>
        <v>CR0709.IN0401</v>
      </c>
      <c r="F27" s="17" t="s">
        <v>21</v>
      </c>
      <c r="G27" s="21" t="str">
        <f>_xlfn.XLOOKUP(E27,IfmPinRef!$B$2:$B$199,IfmPinRef!$H$2:$H$199)</f>
        <v>a47</v>
      </c>
      <c r="H27" s="21" t="str">
        <f>_xlfn.XLOOKUP(E27,IfmPinRef!$B$2:$B$199,IfmPinRef!$I$2:$I$199)</f>
        <v>R, BL (10 kΩ)</v>
      </c>
      <c r="I27" s="21" t="s">
        <v>22</v>
      </c>
      <c r="J27" s="21" t="str">
        <f t="shared" si="1"/>
        <v>CHASSIS.IN0401</v>
      </c>
      <c r="K27" s="19" t="s">
        <v>211</v>
      </c>
      <c r="L27" s="19" t="str">
        <f t="shared" si="7"/>
        <v>FUELLEVEL_PERCENT</v>
      </c>
      <c r="M27" s="19"/>
      <c r="N27" s="20" t="str">
        <f t="shared" si="8"/>
        <v>FUELLEVEL_PERCENT:IpCom; // CHASSIS IN0401</v>
      </c>
      <c r="O27" s="20" t="str">
        <f t="shared" si="9"/>
        <v>Machine_IO.Inputs.FUELLEVEL_PERCENT</v>
      </c>
      <c r="P27" s="20" t="str">
        <f t="shared" si="10"/>
        <v>Machine_IO.Inputs.FUELLEVEL_PERCENT.Dig</v>
      </c>
      <c r="Q27" s="20" t="str">
        <f t="shared" si="2"/>
        <v>Machine_IO.Inputs.FUELLEVEL_PERCENT(); // CR0709.IN0401</v>
      </c>
      <c r="R27" s="20" t="str">
        <f t="shared" si="11"/>
        <v>Machine_IO.Inputs.FUELLEVEL_PERCENT.Init('CHASSIS','FUELLEVEL_PERCENT','IN0401','a47',NVL_IO_CHASSIS.All_Inputs.IN0401,Machine_IO.Node_CHASSIS);</v>
      </c>
      <c r="S27" s="20" t="str">
        <f t="shared" si="3"/>
        <v>FuelLevel_Percent: Mimic_Input_FB; // CHASSIS:IN0401</v>
      </c>
      <c r="T27" s="20" t="str">
        <f t="shared" si="4"/>
        <v>CHASSIS.IN0401();</v>
      </c>
      <c r="U27" s="20" t="str">
        <f t="shared" si="5"/>
        <v>CHASSIS.IN0401.Init(Machine_IO.Inputs.FUELLEVEL_PERCENT);</v>
      </c>
    </row>
    <row r="28" spans="1:21" x14ac:dyDescent="0.2">
      <c r="A28" s="17" t="s">
        <v>91</v>
      </c>
      <c r="B28" s="17" t="s">
        <v>19</v>
      </c>
      <c r="C28" s="19">
        <v>27</v>
      </c>
      <c r="D28" s="17" t="s">
        <v>49</v>
      </c>
      <c r="E28" s="17" t="str">
        <f t="shared" si="6"/>
        <v>CR0709.IN0900</v>
      </c>
      <c r="F28" s="17" t="s">
        <v>21</v>
      </c>
      <c r="G28" s="21" t="str">
        <f>_xlfn.XLOOKUP(E28,IfmPinRef!$B$2:$B$199,IfmPinRef!$H$2:$H$199)</f>
        <v>a38</v>
      </c>
      <c r="H28" s="21" t="str">
        <f>_xlfn.XLOOKUP(E28,IfmPinRef!$B$2:$B$199,IfmPinRef!$I$2:$I$199)</f>
        <v>R, BL (10 kΩ)</v>
      </c>
      <c r="I28" s="21"/>
      <c r="J28" s="21" t="str">
        <f t="shared" si="1"/>
        <v>CHASSIS.IN0900</v>
      </c>
      <c r="K28" s="31" t="s">
        <v>212</v>
      </c>
      <c r="L28" s="19" t="str">
        <f t="shared" si="7"/>
        <v>UMBTRACKREQ</v>
      </c>
      <c r="M28" s="19"/>
      <c r="N28" s="20" t="str">
        <f t="shared" si="8"/>
        <v>UMBTRACKREQ:IpCom; // CHASSIS IN0900</v>
      </c>
      <c r="O28" s="20" t="str">
        <f t="shared" si="9"/>
        <v>Machine_IO.Inputs.UMBTRACKREQ</v>
      </c>
      <c r="P28" s="20" t="str">
        <f t="shared" si="10"/>
        <v>Machine_IO.Inputs.UMBTRACKREQ.Dig</v>
      </c>
      <c r="Q28" s="20" t="str">
        <f t="shared" si="2"/>
        <v>Machine_IO.Inputs.UMBTRACKREQ(); // CR0709.IN0900</v>
      </c>
      <c r="R28" s="20" t="str">
        <f t="shared" si="11"/>
        <v>Machine_IO.Inputs.UMBTRACKREQ.Init('CHASSIS','UMBTRACKREQ','IN0900','a38',NVL_IO_CHASSIS.All_Inputs.IN0900,Machine_IO.Node_CHASSIS);</v>
      </c>
      <c r="S28" s="20" t="str">
        <f t="shared" si="3"/>
        <v>UmbTrackReq: Mimic_Input_FB; // CHASSIS:IN0900</v>
      </c>
      <c r="T28" s="20" t="str">
        <f t="shared" si="4"/>
        <v>CHASSIS.IN0900();</v>
      </c>
      <c r="U28" s="20" t="str">
        <f t="shared" si="5"/>
        <v>CHASSIS.IN0900.Init(Machine_IO.Inputs.UMBTRACKREQ);</v>
      </c>
    </row>
    <row r="29" spans="1:21" x14ac:dyDescent="0.2">
      <c r="A29" s="17" t="s">
        <v>91</v>
      </c>
      <c r="B29" s="17" t="s">
        <v>19</v>
      </c>
      <c r="C29" s="19">
        <v>28</v>
      </c>
      <c r="D29" s="17" t="s">
        <v>50</v>
      </c>
      <c r="E29" s="17" t="str">
        <f t="shared" si="6"/>
        <v>CR0709.IN0901</v>
      </c>
      <c r="F29" s="17" t="s">
        <v>21</v>
      </c>
      <c r="G29" s="21" t="str">
        <f>_xlfn.XLOOKUP(E29,IfmPinRef!$B$2:$B$199,IfmPinRef!$H$2:$H$199)</f>
        <v>a39</v>
      </c>
      <c r="H29" s="21" t="str">
        <f>_xlfn.XLOOKUP(E29,IfmPinRef!$B$2:$B$199,IfmPinRef!$I$2:$I$199)</f>
        <v>R, BL (10 kΩ)</v>
      </c>
      <c r="I29" s="21"/>
      <c r="J29" s="21" t="str">
        <f t="shared" si="1"/>
        <v>CHASSIS.IN0901</v>
      </c>
      <c r="K29" s="31" t="s">
        <v>213</v>
      </c>
      <c r="L29" s="19" t="str">
        <f t="shared" si="7"/>
        <v>UMBMACHINESTOP</v>
      </c>
      <c r="M29" s="19"/>
      <c r="N29" s="20" t="str">
        <f t="shared" si="8"/>
        <v>UMBMACHINESTOP:IpCom; // CHASSIS IN0901</v>
      </c>
      <c r="O29" s="20" t="str">
        <f t="shared" si="9"/>
        <v>Machine_IO.Inputs.UMBMACHINESTOP</v>
      </c>
      <c r="P29" s="20" t="str">
        <f t="shared" si="10"/>
        <v>Machine_IO.Inputs.UMBMACHINESTOP.Dig</v>
      </c>
      <c r="Q29" s="20" t="str">
        <f t="shared" si="2"/>
        <v>Machine_IO.Inputs.UMBMACHINESTOP(); // CR0709.IN0901</v>
      </c>
      <c r="R29" s="20" t="str">
        <f t="shared" si="11"/>
        <v>Machine_IO.Inputs.UMBMACHINESTOP.Init('CHASSIS','UMBMACHINESTOP','IN0901','a39',NVL_IO_CHASSIS.All_Inputs.IN0901,Machine_IO.Node_CHASSIS);</v>
      </c>
      <c r="S29" s="20" t="str">
        <f t="shared" si="3"/>
        <v>UmbMachineStop: Mimic_Input_FB; // CHASSIS:IN0901</v>
      </c>
      <c r="T29" s="20" t="str">
        <f t="shared" si="4"/>
        <v>CHASSIS.IN0901();</v>
      </c>
      <c r="U29" s="20" t="str">
        <f t="shared" si="5"/>
        <v>CHASSIS.IN0901.Init(Machine_IO.Inputs.UMBMACHINESTOP);</v>
      </c>
    </row>
    <row r="30" spans="1:21" s="2" customFormat="1" x14ac:dyDescent="0.2">
      <c r="A30" s="17" t="s">
        <v>91</v>
      </c>
      <c r="B30" s="17" t="s">
        <v>19</v>
      </c>
      <c r="C30" s="19">
        <v>29</v>
      </c>
      <c r="D30" s="17" t="s">
        <v>51</v>
      </c>
      <c r="E30" s="17" t="str">
        <f t="shared" si="6"/>
        <v>CR0709.IN0300</v>
      </c>
      <c r="F30" s="17" t="s">
        <v>21</v>
      </c>
      <c r="G30" s="21" t="str">
        <f>_xlfn.XLOOKUP(E30,IfmPinRef!$B$2:$B$199,IfmPinRef!$H$2:$H$199)</f>
        <v>a44</v>
      </c>
      <c r="H30" s="21" t="str">
        <f>_xlfn.XLOOKUP(E30,IfmPinRef!$B$2:$B$199,IfmPinRef!$I$2:$I$199)</f>
        <v>BL (3.2 kΩ)</v>
      </c>
      <c r="I30" s="21"/>
      <c r="J30" s="21" t="str">
        <f t="shared" si="1"/>
        <v>CHASSIS.IN0300</v>
      </c>
      <c r="K30" s="31" t="s">
        <v>214</v>
      </c>
      <c r="L30" s="19" t="str">
        <f t="shared" si="7"/>
        <v>RTF_REQ</v>
      </c>
      <c r="M30" s="19"/>
      <c r="N30" s="20" t="str">
        <f t="shared" si="8"/>
        <v>RTF_REQ:IpCom; // CHASSIS IN0300</v>
      </c>
      <c r="O30" s="20" t="str">
        <f t="shared" si="9"/>
        <v>Machine_IO.Inputs.RTF_REQ</v>
      </c>
      <c r="P30" s="20" t="str">
        <f t="shared" si="10"/>
        <v>Machine_IO.Inputs.RTF_REQ.Dig</v>
      </c>
      <c r="Q30" s="20" t="str">
        <f t="shared" si="2"/>
        <v>Machine_IO.Inputs.RTF_REQ(); // CR0709.IN0300</v>
      </c>
      <c r="R30" s="20" t="str">
        <f t="shared" si="11"/>
        <v>Machine_IO.Inputs.RTF_REQ.Init('CHASSIS','RTF_REQ','IN0300','a44',NVL_IO_CHASSIS.All_Inputs.IN0300,Machine_IO.Node_CHASSIS);</v>
      </c>
      <c r="S30" s="20" t="str">
        <f t="shared" si="3"/>
        <v>RTF_Req: Mimic_Input_FB; // CHASSIS:IN0300</v>
      </c>
      <c r="T30" s="20" t="str">
        <f t="shared" si="4"/>
        <v>CHASSIS.IN0300();</v>
      </c>
      <c r="U30" s="20" t="str">
        <f t="shared" si="5"/>
        <v>CHASSIS.IN0300.Init(Machine_IO.Inputs.RTF_REQ);</v>
      </c>
    </row>
    <row r="31" spans="1:21" x14ac:dyDescent="0.2">
      <c r="A31" s="17" t="s">
        <v>91</v>
      </c>
      <c r="B31" s="17" t="s">
        <v>19</v>
      </c>
      <c r="C31" s="19">
        <v>30</v>
      </c>
      <c r="D31" s="17" t="s">
        <v>52</v>
      </c>
      <c r="E31" s="17" t="str">
        <f t="shared" si="6"/>
        <v>CR0709.IN0301</v>
      </c>
      <c r="F31" s="17" t="s">
        <v>21</v>
      </c>
      <c r="G31" s="21" t="str">
        <f>_xlfn.XLOOKUP(E31,IfmPinRef!$B$2:$B$199,IfmPinRef!$H$2:$H$199)</f>
        <v>a45</v>
      </c>
      <c r="H31" s="21" t="str">
        <f>_xlfn.XLOOKUP(E31,IfmPinRef!$B$2:$B$199,IfmPinRef!$I$2:$I$199)</f>
        <v>BL (3.2 kΩ)</v>
      </c>
      <c r="I31" s="21"/>
      <c r="J31" s="21" t="str">
        <f t="shared" si="1"/>
        <v>CHASSIS.IN0301</v>
      </c>
      <c r="K31" s="31" t="s">
        <v>215</v>
      </c>
      <c r="L31" s="19" t="str">
        <f t="shared" si="7"/>
        <v>RTR_REQ</v>
      </c>
      <c r="M31" s="19"/>
      <c r="N31" s="20" t="str">
        <f t="shared" si="8"/>
        <v>RTR_REQ:IpCom; // CHASSIS IN0301</v>
      </c>
      <c r="O31" s="20" t="str">
        <f t="shared" si="9"/>
        <v>Machine_IO.Inputs.RTR_REQ</v>
      </c>
      <c r="P31" s="20" t="str">
        <f t="shared" si="10"/>
        <v>Machine_IO.Inputs.RTR_REQ.Dig</v>
      </c>
      <c r="Q31" s="20" t="str">
        <f t="shared" si="2"/>
        <v>Machine_IO.Inputs.RTR_REQ(); // CR0709.IN0301</v>
      </c>
      <c r="R31" s="20" t="str">
        <f t="shared" si="11"/>
        <v>Machine_IO.Inputs.RTR_REQ.Init('CHASSIS','RTR_REQ','IN0301','a45',NVL_IO_CHASSIS.All_Inputs.IN0301,Machine_IO.Node_CHASSIS);</v>
      </c>
      <c r="S31" s="20" t="str">
        <f t="shared" si="3"/>
        <v>RTR_Req: Mimic_Input_FB; // CHASSIS:IN0301</v>
      </c>
      <c r="T31" s="20" t="str">
        <f t="shared" si="4"/>
        <v>CHASSIS.IN0301();</v>
      </c>
      <c r="U31" s="20" t="str">
        <f t="shared" si="5"/>
        <v>CHASSIS.IN0301.Init(Machine_IO.Inputs.RTR_REQ);</v>
      </c>
    </row>
    <row r="32" spans="1:21" x14ac:dyDescent="0.2">
      <c r="A32" s="17" t="s">
        <v>91</v>
      </c>
      <c r="B32" s="17" t="s">
        <v>19</v>
      </c>
      <c r="C32" s="19">
        <v>31</v>
      </c>
      <c r="D32" s="17" t="s">
        <v>53</v>
      </c>
      <c r="E32" s="17" t="str">
        <f t="shared" si="6"/>
        <v>CR0709.IN0800</v>
      </c>
      <c r="F32" s="17" t="s">
        <v>21</v>
      </c>
      <c r="G32" s="21" t="str">
        <f>_xlfn.XLOOKUP(E32,IfmPinRef!$B$2:$B$199,IfmPinRef!$H$2:$H$199)</f>
        <v>a36</v>
      </c>
      <c r="H32" s="21" t="str">
        <f>_xlfn.XLOOKUP(E32,IfmPinRef!$B$2:$B$199,IfmPinRef!$I$2:$I$199)</f>
        <v>BL (3.2 kΩ)</v>
      </c>
      <c r="I32" s="21"/>
      <c r="J32" s="21" t="str">
        <f t="shared" si="1"/>
        <v>CHASSIS.IN0800</v>
      </c>
      <c r="K32" s="31" t="s">
        <v>216</v>
      </c>
      <c r="L32" s="19" t="str">
        <f t="shared" si="7"/>
        <v>LTF_REQ</v>
      </c>
      <c r="M32" s="19"/>
      <c r="N32" s="20" t="str">
        <f t="shared" si="8"/>
        <v>LTF_REQ:IpCom; // CHASSIS IN0800</v>
      </c>
      <c r="O32" s="20" t="str">
        <f t="shared" si="9"/>
        <v>Machine_IO.Inputs.LTF_REQ</v>
      </c>
      <c r="P32" s="20" t="str">
        <f t="shared" si="10"/>
        <v>Machine_IO.Inputs.LTF_REQ.Dig</v>
      </c>
      <c r="Q32" s="20" t="str">
        <f t="shared" si="2"/>
        <v>Machine_IO.Inputs.LTF_REQ(); // CR0709.IN0800</v>
      </c>
      <c r="R32" s="20" t="str">
        <f t="shared" si="11"/>
        <v>Machine_IO.Inputs.LTF_REQ.Init('CHASSIS','LTF_REQ','IN0800','a36',NVL_IO_CHASSIS.All_Inputs.IN0800,Machine_IO.Node_CHASSIS);</v>
      </c>
      <c r="S32" s="20" t="str">
        <f t="shared" si="3"/>
        <v>LTF_Req: Mimic_Input_FB; // CHASSIS:IN0800</v>
      </c>
      <c r="T32" s="20" t="str">
        <f t="shared" si="4"/>
        <v>CHASSIS.IN0800();</v>
      </c>
      <c r="U32" s="20" t="str">
        <f t="shared" si="5"/>
        <v>CHASSIS.IN0800.Init(Machine_IO.Inputs.LTF_REQ);</v>
      </c>
    </row>
    <row r="33" spans="1:22" s="2" customFormat="1" x14ac:dyDescent="0.2">
      <c r="A33" s="17" t="s">
        <v>91</v>
      </c>
      <c r="B33" s="17" t="s">
        <v>19</v>
      </c>
      <c r="C33" s="19">
        <v>32</v>
      </c>
      <c r="D33" s="17" t="s">
        <v>54</v>
      </c>
      <c r="E33" s="17" t="str">
        <f t="shared" si="6"/>
        <v>CR0709.IN0801</v>
      </c>
      <c r="F33" s="17" t="s">
        <v>21</v>
      </c>
      <c r="G33" s="21" t="str">
        <f>_xlfn.XLOOKUP(E33,IfmPinRef!$B$2:$B$199,IfmPinRef!$H$2:$H$199)</f>
        <v>a37</v>
      </c>
      <c r="H33" s="21" t="str">
        <f>_xlfn.XLOOKUP(E33,IfmPinRef!$B$2:$B$199,IfmPinRef!$I$2:$I$199)</f>
        <v>BL (3.2 kΩ)</v>
      </c>
      <c r="I33" s="21"/>
      <c r="J33" s="21" t="str">
        <f t="shared" si="1"/>
        <v>CHASSIS.IN0801</v>
      </c>
      <c r="K33" s="31" t="s">
        <v>217</v>
      </c>
      <c r="L33" s="19" t="str">
        <f t="shared" si="7"/>
        <v>LTR_REQ</v>
      </c>
      <c r="M33" s="19"/>
      <c r="N33" s="20" t="str">
        <f t="shared" si="8"/>
        <v>LTR_REQ:IpCom; // CHASSIS IN0801</v>
      </c>
      <c r="O33" s="20" t="str">
        <f t="shared" si="9"/>
        <v>Machine_IO.Inputs.LTR_REQ</v>
      </c>
      <c r="P33" s="20" t="str">
        <f t="shared" si="10"/>
        <v>Machine_IO.Inputs.LTR_REQ.Dig</v>
      </c>
      <c r="Q33" s="20" t="str">
        <f t="shared" si="2"/>
        <v>Machine_IO.Inputs.LTR_REQ(); // CR0709.IN0801</v>
      </c>
      <c r="R33" s="20" t="str">
        <f t="shared" si="11"/>
        <v>Machine_IO.Inputs.LTR_REQ.Init('CHASSIS','LTR_REQ','IN0801','a37',NVL_IO_CHASSIS.All_Inputs.IN0801,Machine_IO.Node_CHASSIS);</v>
      </c>
      <c r="S33" s="20" t="str">
        <f t="shared" si="3"/>
        <v>LTR_Req: Mimic_Input_FB; // CHASSIS:IN0801</v>
      </c>
      <c r="T33" s="20" t="str">
        <f t="shared" si="4"/>
        <v>CHASSIS.IN0801();</v>
      </c>
      <c r="U33" s="20" t="str">
        <f t="shared" si="5"/>
        <v>CHASSIS.IN0801.Init(Machine_IO.Inputs.LTR_REQ);</v>
      </c>
    </row>
    <row r="34" spans="1:22" s="2" customFormat="1" x14ac:dyDescent="0.2">
      <c r="A34" s="17" t="s">
        <v>91</v>
      </c>
      <c r="B34" s="17" t="s">
        <v>19</v>
      </c>
      <c r="C34" s="19">
        <v>33</v>
      </c>
      <c r="D34" s="17" t="s">
        <v>55</v>
      </c>
      <c r="E34" s="17" t="str">
        <f t="shared" si="6"/>
        <v>CR0709.OUT0000</v>
      </c>
      <c r="F34" s="17" t="s">
        <v>56</v>
      </c>
      <c r="G34" s="21" t="str">
        <f>_xlfn.XLOOKUP(E34,IfmPinRef!$B$2:$B$199,IfmPinRef!$H$2:$H$199)</f>
        <v>a16</v>
      </c>
      <c r="H34" s="21" t="str">
        <f>_xlfn.XLOOKUP(E34,IfmPinRef!$B$2:$B$199,IfmPinRef!$I$2:$I$199)</f>
        <v>PWM 2.5A</v>
      </c>
      <c r="I34" s="30" t="s">
        <v>245</v>
      </c>
      <c r="J34" s="21" t="str">
        <f t="shared" si="1"/>
        <v>CHASSIS.OUT0000</v>
      </c>
      <c r="K34" s="19" t="s">
        <v>218</v>
      </c>
      <c r="L34" s="19" t="str">
        <f t="shared" si="7"/>
        <v>TAILCONVSPD_MA</v>
      </c>
      <c r="M34" s="19" t="str">
        <f t="shared" ref="M34:M65" si="12">_xlfn.CONCAT(K34,":BOOL;")</f>
        <v>TailConvSpd_mA:BOOL;</v>
      </c>
      <c r="N34" s="20" t="str">
        <f>_xlfn.CONCAT(L34,":OpCom; // ",A34,".",D34)</f>
        <v>TAILCONVSPD_MA:OpCom; // CHASSIS.OUT0000</v>
      </c>
      <c r="O34" s="20" t="str">
        <f>_xlfn.CONCAT("Machine_IO.","Outputs.",L34,"")</f>
        <v>Machine_IO.Outputs.TAILCONVSPD_MA</v>
      </c>
      <c r="P34" s="20" t="str">
        <f t="shared" si="10"/>
        <v>Machine_IO.Outputs.TAILCONVSPD_MA.Dig</v>
      </c>
      <c r="Q34" s="20" t="str">
        <f t="shared" ref="Q34:Q65" si="13">_xlfn.CONCAT(O34,"(); // ",E34)</f>
        <v>Machine_IO.Outputs.TAILCONVSPD_MA(); // CR0709.OUT0000</v>
      </c>
      <c r="R34" s="20" t="str">
        <f>_xlfn.CONCAT(O34,".Init('",A34,"','",L34,"','",D34,"','",G34,"',NVL_Outputs_States_",A34,".All.",D34,",NVL_IO_",A2,".All_Outputs_Diag.",D34,",Machine_IO.Node_",A34,");")</f>
        <v>Machine_IO.Outputs.TAILCONVSPD_MA.Init('CHASSIS','TAILCONVSPD_MA','OUT0000','a16',NVL_Outputs_States_CHASSIS.All.OUT0000,NVL_IO_CHASSIS.All_Outputs_Diag.OUT0000,Machine_IO.Node_CHASSIS);</v>
      </c>
      <c r="S34" s="20" t="str">
        <f t="shared" ref="S34:S65" si="14">_xlfn.CONCAT(K34,": Mimic_Output_FB; // ",A34,":",D34)</f>
        <v>TailConvSpd_mA: Mimic_Output_FB; // CHASSIS:OUT0000</v>
      </c>
      <c r="T34" s="20" t="str">
        <f t="shared" ref="T34:T65" si="15">_xlfn.CONCAT(A34,".",D34,"();")</f>
        <v>CHASSIS.OUT0000();</v>
      </c>
      <c r="U34" s="20" t="str">
        <f t="shared" ref="U34:U65" si="16">_xlfn.CONCAT(A34,".",D34,".Init(",O34,");")</f>
        <v>CHASSIS.OUT0000.Init(Machine_IO.Outputs.TAILCONVSPD_MA);</v>
      </c>
      <c r="V34" s="2" t="s">
        <v>402</v>
      </c>
    </row>
    <row r="35" spans="1:22" s="2" customFormat="1" x14ac:dyDescent="0.2">
      <c r="A35" s="17" t="s">
        <v>91</v>
      </c>
      <c r="B35" s="17" t="s">
        <v>19</v>
      </c>
      <c r="C35" s="19">
        <v>34</v>
      </c>
      <c r="D35" s="17" t="s">
        <v>57</v>
      </c>
      <c r="E35" s="17" t="str">
        <f t="shared" si="6"/>
        <v>CR0709.OUT0001</v>
      </c>
      <c r="F35" s="17" t="s">
        <v>56</v>
      </c>
      <c r="G35" s="21" t="str">
        <f>_xlfn.XLOOKUP(E35,IfmPinRef!$B$2:$B$199,IfmPinRef!$H$2:$H$199)</f>
        <v>a17</v>
      </c>
      <c r="H35" s="21" t="str">
        <f>_xlfn.XLOOKUP(E35,IfmPinRef!$B$2:$B$199,IfmPinRef!$I$2:$I$199)</f>
        <v>PWM 2.5A</v>
      </c>
      <c r="I35" s="21" t="s">
        <v>39</v>
      </c>
      <c r="J35" s="21" t="str">
        <f t="shared" si="1"/>
        <v>CHASSIS.OUT0001</v>
      </c>
      <c r="K35" s="19" t="s">
        <v>219</v>
      </c>
      <c r="L35" s="19" t="str">
        <f t="shared" si="7"/>
        <v>RHS_JACKLEGLOWER_OP</v>
      </c>
      <c r="M35" s="19" t="str">
        <f t="shared" si="12"/>
        <v>RHS_JackLegLower_OP:BOOL;</v>
      </c>
      <c r="N35" s="20" t="str">
        <f t="shared" ref="N35:N65" si="17">_xlfn.CONCAT(L35,":OpCom; // ",A35,".",D35)</f>
        <v>RHS_JACKLEGLOWER_OP:OpCom; // CHASSIS.OUT0001</v>
      </c>
      <c r="O35" s="20" t="str">
        <f t="shared" ref="O35:O65" si="18">_xlfn.CONCAT("Machine_IO.","Outputs.",L35,"")</f>
        <v>Machine_IO.Outputs.RHS_JACKLEGLOWER_OP</v>
      </c>
      <c r="P35" s="20" t="str">
        <f t="shared" si="10"/>
        <v>Machine_IO.Outputs.RHS_JACKLEGLOWER_OP.Dig</v>
      </c>
      <c r="Q35" s="20" t="str">
        <f t="shared" si="13"/>
        <v>Machine_IO.Outputs.RHS_JACKLEGLOWER_OP(); // CR0709.OUT0001</v>
      </c>
      <c r="R35" s="20" t="str">
        <f t="shared" ref="R35:R65" si="19">_xlfn.CONCAT(O35,".Init('",A35,"','",L35,"','",D35,"','",G35,"',NVL_Outputs_States_",A35,".All.",D35,",NVL_IO_",A3,".All_Outputs_Diag.",D35,",Machine_IO.Node_",A35,");")</f>
        <v>Machine_IO.Outputs.RHS_JACKLEGLOWER_OP.Init('CHASSIS','RHS_JACKLEGLOWER_OP','OUT0001','a17',NVL_Outputs_States_CHASSIS.All.OUT0001,NVL_IO_CHASSIS.All_Outputs_Diag.OUT0001,Machine_IO.Node_CHASSIS);</v>
      </c>
      <c r="S35" s="20" t="str">
        <f t="shared" si="14"/>
        <v>RHS_JackLegLower_OP: Mimic_Output_FB; // CHASSIS:OUT0001</v>
      </c>
      <c r="T35" s="20" t="str">
        <f t="shared" si="15"/>
        <v>CHASSIS.OUT0001();</v>
      </c>
      <c r="U35" s="20" t="str">
        <f t="shared" si="16"/>
        <v>CHASSIS.OUT0001.Init(Machine_IO.Outputs.RHS_JACKLEGLOWER_OP);</v>
      </c>
    </row>
    <row r="36" spans="1:22" s="2" customFormat="1" x14ac:dyDescent="0.2">
      <c r="A36" s="17" t="s">
        <v>91</v>
      </c>
      <c r="B36" s="17" t="s">
        <v>19</v>
      </c>
      <c r="C36" s="19">
        <v>35</v>
      </c>
      <c r="D36" s="17" t="s">
        <v>58</v>
      </c>
      <c r="E36" s="17" t="str">
        <f t="shared" si="6"/>
        <v>CR0709.OUT0002</v>
      </c>
      <c r="F36" s="17" t="s">
        <v>56</v>
      </c>
      <c r="G36" s="21" t="str">
        <f>_xlfn.XLOOKUP(E36,IfmPinRef!$B$2:$B$199,IfmPinRef!$H$2:$H$199)</f>
        <v>a18</v>
      </c>
      <c r="H36" s="21" t="str">
        <f>_xlfn.XLOOKUP(E36,IfmPinRef!$B$2:$B$199,IfmPinRef!$I$2:$I$199)</f>
        <v>PWM 2.5A</v>
      </c>
      <c r="I36" s="30" t="s">
        <v>245</v>
      </c>
      <c r="J36" s="21" t="str">
        <f t="shared" si="1"/>
        <v>CHASSIS.OUT0002</v>
      </c>
      <c r="K36" s="19" t="s">
        <v>220</v>
      </c>
      <c r="L36" s="19" t="str">
        <f t="shared" si="7"/>
        <v>SIDECONVSPD_MA</v>
      </c>
      <c r="M36" s="19" t="str">
        <f t="shared" si="12"/>
        <v>SideConvSpd_mA:BOOL;</v>
      </c>
      <c r="N36" s="20" t="str">
        <f t="shared" si="17"/>
        <v>SIDECONVSPD_MA:OpCom; // CHASSIS.OUT0002</v>
      </c>
      <c r="O36" s="20" t="str">
        <f t="shared" si="18"/>
        <v>Machine_IO.Outputs.SIDECONVSPD_MA</v>
      </c>
      <c r="P36" s="20" t="str">
        <f t="shared" si="10"/>
        <v>Machine_IO.Outputs.SIDECONVSPD_MA.Dig</v>
      </c>
      <c r="Q36" s="20" t="str">
        <f t="shared" si="13"/>
        <v>Machine_IO.Outputs.SIDECONVSPD_MA(); // CR0709.OUT0002</v>
      </c>
      <c r="R36" s="20" t="str">
        <f t="shared" si="19"/>
        <v>Machine_IO.Outputs.SIDECONVSPD_MA.Init('CHASSIS','SIDECONVSPD_MA','OUT0002','a18',NVL_Outputs_States_CHASSIS.All.OUT0002,NVL_IO_CHASSIS.All_Outputs_Diag.OUT0002,Machine_IO.Node_CHASSIS);</v>
      </c>
      <c r="S36" s="20" t="str">
        <f t="shared" si="14"/>
        <v>SideConvSpd_mA: Mimic_Output_FB; // CHASSIS:OUT0002</v>
      </c>
      <c r="T36" s="20" t="str">
        <f t="shared" si="15"/>
        <v>CHASSIS.OUT0002();</v>
      </c>
      <c r="U36" s="20" t="str">
        <f t="shared" si="16"/>
        <v>CHASSIS.OUT0002.Init(Machine_IO.Outputs.SIDECONVSPD_MA);</v>
      </c>
      <c r="V36" s="2" t="s">
        <v>402</v>
      </c>
    </row>
    <row r="37" spans="1:22" s="2" customFormat="1" x14ac:dyDescent="0.2">
      <c r="A37" s="17" t="s">
        <v>91</v>
      </c>
      <c r="B37" s="17" t="s">
        <v>19</v>
      </c>
      <c r="C37" s="19">
        <v>36</v>
      </c>
      <c r="D37" s="17" t="s">
        <v>59</v>
      </c>
      <c r="E37" s="17" t="str">
        <f t="shared" si="6"/>
        <v>CR0709.OUT0003</v>
      </c>
      <c r="F37" s="17" t="s">
        <v>56</v>
      </c>
      <c r="G37" s="21" t="str">
        <f>_xlfn.XLOOKUP(E37,IfmPinRef!$B$2:$B$199,IfmPinRef!$H$2:$H$199)</f>
        <v>a19</v>
      </c>
      <c r="H37" s="21" t="str">
        <f>_xlfn.XLOOKUP(E37,IfmPinRef!$B$2:$B$199,IfmPinRef!$I$2:$I$199)</f>
        <v>PWM 2.5A</v>
      </c>
      <c r="I37" s="21" t="s">
        <v>39</v>
      </c>
      <c r="J37" s="21" t="str">
        <f t="shared" si="1"/>
        <v>CHASSIS.OUT0003</v>
      </c>
      <c r="K37" s="19" t="s">
        <v>221</v>
      </c>
      <c r="L37" s="19" t="str">
        <f t="shared" si="7"/>
        <v>LHS_JACKLEGRAISE_OP</v>
      </c>
      <c r="M37" s="19" t="str">
        <f t="shared" si="12"/>
        <v>LHS_JackLegRaise_OP:BOOL;</v>
      </c>
      <c r="N37" s="20" t="str">
        <f t="shared" si="17"/>
        <v>LHS_JACKLEGRAISE_OP:OpCom; // CHASSIS.OUT0003</v>
      </c>
      <c r="O37" s="20" t="str">
        <f t="shared" si="18"/>
        <v>Machine_IO.Outputs.LHS_JACKLEGRAISE_OP</v>
      </c>
      <c r="P37" s="20" t="str">
        <f t="shared" si="10"/>
        <v>Machine_IO.Outputs.LHS_JACKLEGRAISE_OP.Dig</v>
      </c>
      <c r="Q37" s="20" t="str">
        <f t="shared" si="13"/>
        <v>Machine_IO.Outputs.LHS_JACKLEGRAISE_OP(); // CR0709.OUT0003</v>
      </c>
      <c r="R37" s="20" t="str">
        <f t="shared" si="19"/>
        <v>Machine_IO.Outputs.LHS_JACKLEGRAISE_OP.Init('CHASSIS','LHS_JACKLEGRAISE_OP','OUT0003','a19',NVL_Outputs_States_CHASSIS.All.OUT0003,NVL_IO_CHASSIS.All_Outputs_Diag.OUT0003,Machine_IO.Node_CHASSIS);</v>
      </c>
      <c r="S37" s="20" t="str">
        <f t="shared" si="14"/>
        <v>LHS_JackLegRaise_OP: Mimic_Output_FB; // CHASSIS:OUT0003</v>
      </c>
      <c r="T37" s="20" t="str">
        <f t="shared" si="15"/>
        <v>CHASSIS.OUT0003();</v>
      </c>
      <c r="U37" s="20" t="str">
        <f t="shared" si="16"/>
        <v>CHASSIS.OUT0003.Init(Machine_IO.Outputs.LHS_JACKLEGRAISE_OP);</v>
      </c>
    </row>
    <row r="38" spans="1:22" s="2" customFormat="1" x14ac:dyDescent="0.2">
      <c r="A38" s="17" t="s">
        <v>91</v>
      </c>
      <c r="B38" s="17" t="s">
        <v>19</v>
      </c>
      <c r="C38" s="19">
        <v>37</v>
      </c>
      <c r="D38" s="17" t="s">
        <v>60</v>
      </c>
      <c r="E38" s="17" t="str">
        <f t="shared" si="6"/>
        <v>CR0709.OUT0004</v>
      </c>
      <c r="F38" s="17" t="s">
        <v>56</v>
      </c>
      <c r="G38" s="21" t="str">
        <f>_xlfn.XLOOKUP(E38,IfmPinRef!$B$2:$B$199,IfmPinRef!$H$2:$H$199)</f>
        <v>a20</v>
      </c>
      <c r="H38" s="21" t="str">
        <f>_xlfn.XLOOKUP(E38,IfmPinRef!$B$2:$B$199,IfmPinRef!$I$2:$I$199)</f>
        <v>PWM 2.5A</v>
      </c>
      <c r="I38" s="30" t="s">
        <v>245</v>
      </c>
      <c r="J38" s="21" t="str">
        <f t="shared" si="1"/>
        <v>CHASSIS.OUT0004</v>
      </c>
      <c r="K38" s="19" t="s">
        <v>222</v>
      </c>
      <c r="L38" s="19" t="str">
        <f t="shared" si="7"/>
        <v>SIDETRANSFERSPD_MA</v>
      </c>
      <c r="M38" s="19" t="str">
        <f t="shared" si="12"/>
        <v>SideTransferSpd_mA:BOOL;</v>
      </c>
      <c r="N38" s="20" t="str">
        <f t="shared" si="17"/>
        <v>SIDETRANSFERSPD_MA:OpCom; // CHASSIS.OUT0004</v>
      </c>
      <c r="O38" s="20" t="str">
        <f t="shared" si="18"/>
        <v>Machine_IO.Outputs.SIDETRANSFERSPD_MA</v>
      </c>
      <c r="P38" s="20" t="str">
        <f t="shared" si="10"/>
        <v>Machine_IO.Outputs.SIDETRANSFERSPD_MA.Dig</v>
      </c>
      <c r="Q38" s="20" t="str">
        <f t="shared" si="13"/>
        <v>Machine_IO.Outputs.SIDETRANSFERSPD_MA(); // CR0709.OUT0004</v>
      </c>
      <c r="R38" s="20" t="str">
        <f t="shared" si="19"/>
        <v>Machine_IO.Outputs.SIDETRANSFERSPD_MA.Init('CHASSIS','SIDETRANSFERSPD_MA','OUT0004','a20',NVL_Outputs_States_CHASSIS.All.OUT0004,NVL_IO_CHASSIS.All_Outputs_Diag.OUT0004,Machine_IO.Node_CHASSIS);</v>
      </c>
      <c r="S38" s="20" t="str">
        <f t="shared" si="14"/>
        <v>SideTransferSpd_mA: Mimic_Output_FB; // CHASSIS:OUT0004</v>
      </c>
      <c r="T38" s="20" t="str">
        <f t="shared" si="15"/>
        <v>CHASSIS.OUT0004();</v>
      </c>
      <c r="U38" s="20" t="str">
        <f t="shared" si="16"/>
        <v>CHASSIS.OUT0004.Init(Machine_IO.Outputs.SIDETRANSFERSPD_MA);</v>
      </c>
      <c r="V38" s="2" t="s">
        <v>402</v>
      </c>
    </row>
    <row r="39" spans="1:22" s="2" customFormat="1" x14ac:dyDescent="0.2">
      <c r="A39" s="17" t="s">
        <v>91</v>
      </c>
      <c r="B39" s="17" t="s">
        <v>19</v>
      </c>
      <c r="C39" s="19">
        <v>38</v>
      </c>
      <c r="D39" s="17" t="s">
        <v>61</v>
      </c>
      <c r="E39" s="17" t="str">
        <f t="shared" si="6"/>
        <v>CR0709.OUT0005</v>
      </c>
      <c r="F39" s="17" t="s">
        <v>56</v>
      </c>
      <c r="G39" s="21" t="str">
        <f>_xlfn.XLOOKUP(E39,IfmPinRef!$B$2:$B$199,IfmPinRef!$H$2:$H$199)</f>
        <v>a21</v>
      </c>
      <c r="H39" s="21" t="str">
        <f>_xlfn.XLOOKUP(E39,IfmPinRef!$B$2:$B$199,IfmPinRef!$I$2:$I$199)</f>
        <v>PWM 2.5A</v>
      </c>
      <c r="I39" s="21" t="s">
        <v>39</v>
      </c>
      <c r="J39" s="21" t="str">
        <f t="shared" si="1"/>
        <v>CHASSIS.OUT0005</v>
      </c>
      <c r="K39" s="19" t="s">
        <v>223</v>
      </c>
      <c r="L39" s="19" t="str">
        <f t="shared" si="7"/>
        <v>LHS_JACKLEGLOWER_OP</v>
      </c>
      <c r="M39" s="19" t="str">
        <f t="shared" si="12"/>
        <v>LHS_JackLegLower_OP:BOOL;</v>
      </c>
      <c r="N39" s="20" t="str">
        <f t="shared" si="17"/>
        <v>LHS_JACKLEGLOWER_OP:OpCom; // CHASSIS.OUT0005</v>
      </c>
      <c r="O39" s="20" t="str">
        <f t="shared" si="18"/>
        <v>Machine_IO.Outputs.LHS_JACKLEGLOWER_OP</v>
      </c>
      <c r="P39" s="20" t="str">
        <f t="shared" si="10"/>
        <v>Machine_IO.Outputs.LHS_JACKLEGLOWER_OP.Dig</v>
      </c>
      <c r="Q39" s="20" t="str">
        <f t="shared" si="13"/>
        <v>Machine_IO.Outputs.LHS_JACKLEGLOWER_OP(); // CR0709.OUT0005</v>
      </c>
      <c r="R39" s="20" t="str">
        <f t="shared" si="19"/>
        <v>Machine_IO.Outputs.LHS_JACKLEGLOWER_OP.Init('CHASSIS','LHS_JACKLEGLOWER_OP','OUT0005','a21',NVL_Outputs_States_CHASSIS.All.OUT0005,NVL_IO_CHASSIS.All_Outputs_Diag.OUT0005,Machine_IO.Node_CHASSIS);</v>
      </c>
      <c r="S39" s="20" t="str">
        <f t="shared" si="14"/>
        <v>LHS_JackLegLower_OP: Mimic_Output_FB; // CHASSIS:OUT0005</v>
      </c>
      <c r="T39" s="20" t="str">
        <f t="shared" si="15"/>
        <v>CHASSIS.OUT0005();</v>
      </c>
      <c r="U39" s="20" t="str">
        <f t="shared" si="16"/>
        <v>CHASSIS.OUT0005.Init(Machine_IO.Outputs.LHS_JACKLEGLOWER_OP);</v>
      </c>
    </row>
    <row r="40" spans="1:22" s="2" customFormat="1" x14ac:dyDescent="0.2">
      <c r="A40" s="17" t="s">
        <v>91</v>
      </c>
      <c r="B40" s="17" t="s">
        <v>19</v>
      </c>
      <c r="C40" s="19">
        <v>39</v>
      </c>
      <c r="D40" s="17" t="s">
        <v>62</v>
      </c>
      <c r="E40" s="17" t="str">
        <f t="shared" si="6"/>
        <v>CR0709.OUT0006</v>
      </c>
      <c r="F40" s="17" t="s">
        <v>56</v>
      </c>
      <c r="G40" s="21" t="str">
        <f>_xlfn.XLOOKUP(E40,IfmPinRef!$B$2:$B$199,IfmPinRef!$H$2:$H$199)</f>
        <v>a22</v>
      </c>
      <c r="H40" s="21" t="str">
        <f>_xlfn.XLOOKUP(E40,IfmPinRef!$B$2:$B$199,IfmPinRef!$I$2:$I$199)</f>
        <v>PWM 4A</v>
      </c>
      <c r="I40" s="21" t="s">
        <v>39</v>
      </c>
      <c r="J40" s="21" t="str">
        <f t="shared" si="1"/>
        <v>CHASSIS.OUT0006</v>
      </c>
      <c r="K40" s="19" t="s">
        <v>224</v>
      </c>
      <c r="L40" s="19" t="str">
        <f t="shared" si="7"/>
        <v>SETUPDUMPVALVE_OP</v>
      </c>
      <c r="M40" s="19" t="str">
        <f t="shared" si="12"/>
        <v>SetupDumpValve_OP:BOOL;</v>
      </c>
      <c r="N40" s="20" t="str">
        <f t="shared" si="17"/>
        <v>SETUPDUMPVALVE_OP:OpCom; // CHASSIS.OUT0006</v>
      </c>
      <c r="O40" s="20" t="str">
        <f t="shared" si="18"/>
        <v>Machine_IO.Outputs.SETUPDUMPVALVE_OP</v>
      </c>
      <c r="P40" s="20" t="str">
        <f t="shared" si="10"/>
        <v>Machine_IO.Outputs.SETUPDUMPVALVE_OP.Dig</v>
      </c>
      <c r="Q40" s="20" t="str">
        <f t="shared" si="13"/>
        <v>Machine_IO.Outputs.SETUPDUMPVALVE_OP(); // CR0709.OUT0006</v>
      </c>
      <c r="R40" s="20" t="str">
        <f t="shared" si="19"/>
        <v>Machine_IO.Outputs.SETUPDUMPVALVE_OP.Init('CHASSIS','SETUPDUMPVALVE_OP','OUT0006','a22',NVL_Outputs_States_CHASSIS.All.OUT0006,NVL_IO_CHASSIS.All_Outputs_Diag.OUT0006,Machine_IO.Node_CHASSIS);</v>
      </c>
      <c r="S40" s="20" t="str">
        <f t="shared" si="14"/>
        <v>SetupDumpValve_OP: Mimic_Output_FB; // CHASSIS:OUT0006</v>
      </c>
      <c r="T40" s="20" t="str">
        <f t="shared" si="15"/>
        <v>CHASSIS.OUT0006();</v>
      </c>
      <c r="U40" s="20" t="str">
        <f t="shared" si="16"/>
        <v>CHASSIS.OUT0006.Init(Machine_IO.Outputs.SETUPDUMPVALVE_OP);</v>
      </c>
    </row>
    <row r="41" spans="1:22" s="2" customFormat="1" x14ac:dyDescent="0.2">
      <c r="A41" s="17" t="s">
        <v>91</v>
      </c>
      <c r="B41" s="17" t="s">
        <v>19</v>
      </c>
      <c r="C41" s="19">
        <v>40</v>
      </c>
      <c r="D41" s="17" t="s">
        <v>63</v>
      </c>
      <c r="E41" s="17" t="str">
        <f t="shared" si="6"/>
        <v>CR0709.OUT0007</v>
      </c>
      <c r="F41" s="17" t="s">
        <v>56</v>
      </c>
      <c r="G41" s="21" t="str">
        <f>_xlfn.XLOOKUP(E41,IfmPinRef!$B$2:$B$199,IfmPinRef!$H$2:$H$199)</f>
        <v>a23</v>
      </c>
      <c r="H41" s="21" t="str">
        <f>_xlfn.XLOOKUP(E41,IfmPinRef!$B$2:$B$199,IfmPinRef!$I$2:$I$199)</f>
        <v>PWM 4A</v>
      </c>
      <c r="I41" s="30" t="s">
        <v>245</v>
      </c>
      <c r="J41" s="21" t="str">
        <f t="shared" si="1"/>
        <v>CHASSIS.OUT0007</v>
      </c>
      <c r="K41" s="19" t="s">
        <v>225</v>
      </c>
      <c r="L41" s="19" t="str">
        <f t="shared" si="7"/>
        <v>COLLECTIONCONVSPD_MA</v>
      </c>
      <c r="M41" s="19" t="str">
        <f t="shared" si="12"/>
        <v>CollectionConvSpd_mA:BOOL;</v>
      </c>
      <c r="N41" s="20" t="str">
        <f t="shared" si="17"/>
        <v>COLLECTIONCONVSPD_MA:OpCom; // CHASSIS.OUT0007</v>
      </c>
      <c r="O41" s="20" t="str">
        <f t="shared" si="18"/>
        <v>Machine_IO.Outputs.COLLECTIONCONVSPD_MA</v>
      </c>
      <c r="P41" s="20" t="str">
        <f t="shared" si="10"/>
        <v>Machine_IO.Outputs.COLLECTIONCONVSPD_MA.Dig</v>
      </c>
      <c r="Q41" s="20" t="str">
        <f t="shared" si="13"/>
        <v>Machine_IO.Outputs.COLLECTIONCONVSPD_MA(); // CR0709.OUT0007</v>
      </c>
      <c r="R41" s="20" t="str">
        <f t="shared" si="19"/>
        <v>Machine_IO.Outputs.COLLECTIONCONVSPD_MA.Init('CHASSIS','COLLECTIONCONVSPD_MA','OUT0007','a23',NVL_Outputs_States_CHASSIS.All.OUT0007,NVL_IO_CHASSIS.All_Outputs_Diag.OUT0007,Machine_IO.Node_CHASSIS);</v>
      </c>
      <c r="S41" s="20" t="str">
        <f t="shared" si="14"/>
        <v>CollectionConvSpd_mA: Mimic_Output_FB; // CHASSIS:OUT0007</v>
      </c>
      <c r="T41" s="20" t="str">
        <f t="shared" si="15"/>
        <v>CHASSIS.OUT0007();</v>
      </c>
      <c r="U41" s="20" t="str">
        <f t="shared" si="16"/>
        <v>CHASSIS.OUT0007.Init(Machine_IO.Outputs.COLLECTIONCONVSPD_MA);</v>
      </c>
      <c r="V41" s="2" t="s">
        <v>402</v>
      </c>
    </row>
    <row r="42" spans="1:22" s="2" customFormat="1" x14ac:dyDescent="0.2">
      <c r="A42" s="17" t="s">
        <v>91</v>
      </c>
      <c r="B42" s="17" t="s">
        <v>19</v>
      </c>
      <c r="C42" s="19">
        <v>41</v>
      </c>
      <c r="D42" s="17" t="s">
        <v>64</v>
      </c>
      <c r="E42" s="17" t="str">
        <f t="shared" si="6"/>
        <v>CR0709.OUT0008</v>
      </c>
      <c r="F42" s="17" t="s">
        <v>56</v>
      </c>
      <c r="G42" s="21" t="str">
        <f>_xlfn.XLOOKUP(E42,IfmPinRef!$B$2:$B$199,IfmPinRef!$H$2:$H$199)</f>
        <v>a24</v>
      </c>
      <c r="H42" s="21" t="str">
        <f>_xlfn.XLOOKUP(E42,IfmPinRef!$B$2:$B$199,IfmPinRef!$I$2:$I$199)</f>
        <v>PWM 4A</v>
      </c>
      <c r="I42" s="21" t="s">
        <v>39</v>
      </c>
      <c r="J42" s="21" t="str">
        <f t="shared" si="1"/>
        <v>CHASSIS.OUT0008</v>
      </c>
      <c r="K42" s="19" t="s">
        <v>226</v>
      </c>
      <c r="L42" s="19" t="str">
        <f t="shared" si="7"/>
        <v>COLLECTIONCONVON_OP</v>
      </c>
      <c r="M42" s="19" t="str">
        <f t="shared" si="12"/>
        <v>CollectionConvOn_OP:BOOL;</v>
      </c>
      <c r="N42" s="20" t="str">
        <f t="shared" si="17"/>
        <v>COLLECTIONCONVON_OP:OpCom; // CHASSIS.OUT0008</v>
      </c>
      <c r="O42" s="20" t="str">
        <f t="shared" si="18"/>
        <v>Machine_IO.Outputs.COLLECTIONCONVON_OP</v>
      </c>
      <c r="P42" s="20" t="str">
        <f t="shared" si="10"/>
        <v>Machine_IO.Outputs.COLLECTIONCONVON_OP.Dig</v>
      </c>
      <c r="Q42" s="20" t="str">
        <f t="shared" si="13"/>
        <v>Machine_IO.Outputs.COLLECTIONCONVON_OP(); // CR0709.OUT0008</v>
      </c>
      <c r="R42" s="20" t="str">
        <f t="shared" si="19"/>
        <v>Machine_IO.Outputs.COLLECTIONCONVON_OP.Init('CHASSIS','COLLECTIONCONVON_OP','OUT0008','a24',NVL_Outputs_States_CHASSIS.All.OUT0008,NVL_IO_CHASSIS.All_Outputs_Diag.OUT0008,Machine_IO.Node_CHASSIS);</v>
      </c>
      <c r="S42" s="20" t="str">
        <f t="shared" si="14"/>
        <v>CollectionConvOn_OP: Mimic_Output_FB; // CHASSIS:OUT0008</v>
      </c>
      <c r="T42" s="20" t="str">
        <f t="shared" si="15"/>
        <v>CHASSIS.OUT0008();</v>
      </c>
      <c r="U42" s="20" t="str">
        <f t="shared" si="16"/>
        <v>CHASSIS.OUT0008.Init(Machine_IO.Outputs.COLLECTIONCONVON_OP);</v>
      </c>
      <c r="V42" s="2" t="s">
        <v>402</v>
      </c>
    </row>
    <row r="43" spans="1:22" s="2" customFormat="1" x14ac:dyDescent="0.2">
      <c r="A43" s="17" t="s">
        <v>91</v>
      </c>
      <c r="B43" s="17" t="s">
        <v>19</v>
      </c>
      <c r="C43" s="19">
        <v>62</v>
      </c>
      <c r="D43" s="17" t="s">
        <v>65</v>
      </c>
      <c r="E43" s="17" t="str">
        <f>_xlfn.CONCAT(B43,".",D43)</f>
        <v>CR0709.GROUP0</v>
      </c>
      <c r="F43" s="17" t="s">
        <v>66</v>
      </c>
      <c r="G43" s="21" t="str">
        <f>_xlfn.XLOOKUP(E43,IfmPinRef!$B$2:$B$199,IfmPinRef!$H$2:$H$199)</f>
        <v>a4</v>
      </c>
      <c r="H43" s="21" t="str">
        <f>_xlfn.XLOOKUP(E43,IfmPinRef!$B$2:$B$199,IfmPinRef!$I$2:$I$199)</f>
        <v>Supply Op Grp0</v>
      </c>
      <c r="I43" s="21" t="s">
        <v>67</v>
      </c>
      <c r="J43" s="21" t="str">
        <f t="shared" si="1"/>
        <v>CHASSIS.GROUP0</v>
      </c>
      <c r="K43" s="19" t="s">
        <v>246</v>
      </c>
      <c r="L43" s="19" t="str">
        <f t="shared" si="7"/>
        <v>SUPPLY_GROUP0</v>
      </c>
      <c r="M43" s="19" t="str">
        <f t="shared" si="12"/>
        <v>SUPPLY_GROUP0:BOOL;</v>
      </c>
      <c r="N43" s="20" t="str">
        <f t="shared" si="17"/>
        <v>SUPPLY_GROUP0:OpCom; // CHASSIS.GROUP0</v>
      </c>
      <c r="O43" s="20" t="str">
        <f t="shared" si="18"/>
        <v>Machine_IO.Outputs.SUPPLY_GROUP0</v>
      </c>
      <c r="P43" s="20" t="str">
        <f t="shared" si="10"/>
        <v>Machine_IO.Outputs.SUPPLY_GROUP0.Dig</v>
      </c>
      <c r="Q43" s="20" t="str">
        <f t="shared" si="13"/>
        <v>Machine_IO.Outputs.SUPPLY_GROUP0(); // CR0709.GROUP0</v>
      </c>
      <c r="R43" s="20" t="str">
        <f t="shared" si="19"/>
        <v>Machine_IO.Outputs.SUPPLY_GROUP0.Init('CHASSIS','SUPPLY_GROUP0','GROUP0','a4',NVL_Outputs_States_CHASSIS.All.GROUP0,NVL_IO_CHASSIS.All_Outputs_Diag.GROUP0,Machine_IO.Node_CHASSIS);</v>
      </c>
      <c r="S43" s="20" t="str">
        <f t="shared" si="14"/>
        <v>SUPPLY_GROUP0: Mimic_Output_FB; // CHASSIS:GROUP0</v>
      </c>
      <c r="T43" s="20" t="str">
        <f t="shared" si="15"/>
        <v>CHASSIS.GROUP0();</v>
      </c>
      <c r="U43" s="20" t="str">
        <f t="shared" si="16"/>
        <v>CHASSIS.GROUP0.Init(Machine_IO.Outputs.SUPPLY_GROUP0);</v>
      </c>
    </row>
    <row r="44" spans="1:22" x14ac:dyDescent="0.2">
      <c r="A44" s="17" t="s">
        <v>91</v>
      </c>
      <c r="B44" s="17" t="s">
        <v>19</v>
      </c>
      <c r="C44" s="19">
        <v>42</v>
      </c>
      <c r="D44" s="17" t="s">
        <v>68</v>
      </c>
      <c r="E44" s="17" t="str">
        <f t="shared" si="6"/>
        <v>CR0709.OUT0100</v>
      </c>
      <c r="F44" s="17" t="s">
        <v>56</v>
      </c>
      <c r="G44" s="21" t="str">
        <f>_xlfn.XLOOKUP(E44,IfmPinRef!$B$2:$B$199,IfmPinRef!$H$2:$H$199)</f>
        <v>a6</v>
      </c>
      <c r="H44" s="21" t="str">
        <f>_xlfn.XLOOKUP(E44,IfmPinRef!$B$2:$B$199,IfmPinRef!$I$2:$I$199)</f>
        <v>PWM 2.5A</v>
      </c>
      <c r="I44" s="30" t="s">
        <v>245</v>
      </c>
      <c r="J44" s="21" t="str">
        <f t="shared" si="1"/>
        <v>CHASSIS.OUT0100</v>
      </c>
      <c r="K44" s="19" t="s">
        <v>227</v>
      </c>
      <c r="L44" s="19" t="str">
        <f t="shared" si="7"/>
        <v>DRUMSPD_MA_RAMP_LIMIT</v>
      </c>
      <c r="M44" s="19" t="str">
        <f t="shared" si="12"/>
        <v>DrumSpd_mA_RAMP_LIMIT:BOOL;</v>
      </c>
      <c r="N44" s="20" t="str">
        <f t="shared" si="17"/>
        <v>DRUMSPD_MA_RAMP_LIMIT:OpCom; // CHASSIS.OUT0100</v>
      </c>
      <c r="O44" s="20" t="str">
        <f t="shared" si="18"/>
        <v>Machine_IO.Outputs.DRUMSPD_MA_RAMP_LIMIT</v>
      </c>
      <c r="P44" s="20" t="str">
        <f t="shared" si="10"/>
        <v>Machine_IO.Outputs.DRUMSPD_MA_RAMP_LIMIT.Dig</v>
      </c>
      <c r="Q44" s="20" t="str">
        <f t="shared" si="13"/>
        <v>Machine_IO.Outputs.DRUMSPD_MA_RAMP_LIMIT(); // CR0709.OUT0100</v>
      </c>
      <c r="R44" s="20" t="str">
        <f t="shared" si="19"/>
        <v>Machine_IO.Outputs.DRUMSPD_MA_RAMP_LIMIT.Init('CHASSIS','DRUMSPD_MA_RAMP_LIMIT','OUT0100','a6',NVL_Outputs_States_CHASSIS.All.OUT0100,NVL_IO_CHASSIS.All_Outputs_Diag.OUT0100,Machine_IO.Node_CHASSIS);</v>
      </c>
      <c r="S44" s="20" t="str">
        <f t="shared" si="14"/>
        <v>DrumSpd_mA_RAMP_LIMIT: Mimic_Output_FB; // CHASSIS:OUT0100</v>
      </c>
      <c r="T44" s="20" t="str">
        <f t="shared" si="15"/>
        <v>CHASSIS.OUT0100();</v>
      </c>
      <c r="U44" s="20" t="str">
        <f t="shared" si="16"/>
        <v>CHASSIS.OUT0100.Init(Machine_IO.Outputs.DRUMSPD_MA_RAMP_LIMIT);</v>
      </c>
      <c r="V44" s="4" t="s">
        <v>402</v>
      </c>
    </row>
    <row r="45" spans="1:22" s="2" customFormat="1" x14ac:dyDescent="0.2">
      <c r="A45" s="17" t="s">
        <v>91</v>
      </c>
      <c r="B45" s="17" t="s">
        <v>19</v>
      </c>
      <c r="C45" s="19">
        <v>43</v>
      </c>
      <c r="D45" s="17" t="s">
        <v>69</v>
      </c>
      <c r="E45" s="17" t="str">
        <f t="shared" si="6"/>
        <v>CR0709.OUT0101</v>
      </c>
      <c r="F45" s="17" t="s">
        <v>56</v>
      </c>
      <c r="G45" s="21" t="str">
        <f>_xlfn.XLOOKUP(E45,IfmPinRef!$B$2:$B$199,IfmPinRef!$H$2:$H$199)</f>
        <v>a7</v>
      </c>
      <c r="H45" s="21" t="str">
        <f>_xlfn.XLOOKUP(E45,IfmPinRef!$B$2:$B$199,IfmPinRef!$I$2:$I$199)</f>
        <v>PWM 2.5A</v>
      </c>
      <c r="I45" s="21" t="s">
        <v>39</v>
      </c>
      <c r="J45" s="21" t="str">
        <f t="shared" si="1"/>
        <v>CHASSIS.OUT0101</v>
      </c>
      <c r="K45" s="31" t="s">
        <v>228</v>
      </c>
      <c r="L45" s="19" t="str">
        <f t="shared" si="7"/>
        <v>TRACKINGMODE</v>
      </c>
      <c r="M45" s="19" t="str">
        <f t="shared" si="12"/>
        <v>TrackingMode:BOOL;</v>
      </c>
      <c r="N45" s="20" t="str">
        <f t="shared" si="17"/>
        <v>TRACKINGMODE:OpCom; // CHASSIS.OUT0101</v>
      </c>
      <c r="O45" s="20" t="str">
        <f t="shared" si="18"/>
        <v>Machine_IO.Outputs.TRACKINGMODE</v>
      </c>
      <c r="P45" s="20" t="str">
        <f t="shared" si="10"/>
        <v>Machine_IO.Outputs.TRACKINGMODE.Dig</v>
      </c>
      <c r="Q45" s="20" t="str">
        <f t="shared" si="13"/>
        <v>Machine_IO.Outputs.TRACKINGMODE(); // CR0709.OUT0101</v>
      </c>
      <c r="R45" s="20" t="str">
        <f t="shared" si="19"/>
        <v>Machine_IO.Outputs.TRACKINGMODE.Init('CHASSIS','TRACKINGMODE','OUT0101','a7',NVL_Outputs_States_CHASSIS.All.OUT0101,NVL_IO_CHASSIS.All_Outputs_Diag.OUT0101,Machine_IO.Node_CHASSIS);</v>
      </c>
      <c r="S45" s="20" t="str">
        <f t="shared" si="14"/>
        <v>TrackingMode: Mimic_Output_FB; // CHASSIS:OUT0101</v>
      </c>
      <c r="T45" s="20" t="str">
        <f t="shared" si="15"/>
        <v>CHASSIS.OUT0101();</v>
      </c>
      <c r="U45" s="20" t="str">
        <f t="shared" si="16"/>
        <v>CHASSIS.OUT0101.Init(Machine_IO.Outputs.TRACKINGMODE);</v>
      </c>
    </row>
    <row r="46" spans="1:22" s="2" customFormat="1" x14ac:dyDescent="0.2">
      <c r="A46" s="17" t="s">
        <v>91</v>
      </c>
      <c r="B46" s="17" t="s">
        <v>19</v>
      </c>
      <c r="C46" s="19">
        <v>44</v>
      </c>
      <c r="D46" s="17" t="s">
        <v>70</v>
      </c>
      <c r="E46" s="17" t="str">
        <f t="shared" si="6"/>
        <v>CR0709.OUT0102</v>
      </c>
      <c r="F46" s="17" t="s">
        <v>56</v>
      </c>
      <c r="G46" s="21" t="str">
        <f>_xlfn.XLOOKUP(E46,IfmPinRef!$B$2:$B$199,IfmPinRef!$H$2:$H$199)</f>
        <v>a8</v>
      </c>
      <c r="H46" s="21" t="str">
        <f>_xlfn.XLOOKUP(E46,IfmPinRef!$B$2:$B$199,IfmPinRef!$I$2:$I$199)</f>
        <v>PWM 2.5A</v>
      </c>
      <c r="I46" s="30" t="s">
        <v>245</v>
      </c>
      <c r="J46" s="21" t="str">
        <f t="shared" si="1"/>
        <v>CHASSIS.OUT0102</v>
      </c>
      <c r="K46" s="19" t="s">
        <v>229</v>
      </c>
      <c r="L46" s="19" t="str">
        <f t="shared" si="7"/>
        <v>FEEDERSPD_MA</v>
      </c>
      <c r="M46" s="19" t="str">
        <f t="shared" si="12"/>
        <v>FeederSpd_mA:BOOL;</v>
      </c>
      <c r="N46" s="20" t="str">
        <f t="shared" si="17"/>
        <v>FEEDERSPD_MA:OpCom; // CHASSIS.OUT0102</v>
      </c>
      <c r="O46" s="20" t="str">
        <f t="shared" si="18"/>
        <v>Machine_IO.Outputs.FEEDERSPD_MA</v>
      </c>
      <c r="P46" s="20" t="str">
        <f t="shared" si="10"/>
        <v>Machine_IO.Outputs.FEEDERSPD_MA.Dig</v>
      </c>
      <c r="Q46" s="20" t="str">
        <f t="shared" si="13"/>
        <v>Machine_IO.Outputs.FEEDERSPD_MA(); // CR0709.OUT0102</v>
      </c>
      <c r="R46" s="20" t="str">
        <f t="shared" si="19"/>
        <v>Machine_IO.Outputs.FEEDERSPD_MA.Init('CHASSIS','FEEDERSPD_MA','OUT0102','a8',NVL_Outputs_States_CHASSIS.All.OUT0102,NVL_IO_CHASSIS.All_Outputs_Diag.OUT0102,Machine_IO.Node_CHASSIS);</v>
      </c>
      <c r="S46" s="20" t="str">
        <f t="shared" si="14"/>
        <v>FeederSpd_mA: Mimic_Output_FB; // CHASSIS:OUT0102</v>
      </c>
      <c r="T46" s="20" t="str">
        <f t="shared" si="15"/>
        <v>CHASSIS.OUT0102();</v>
      </c>
      <c r="U46" s="20" t="str">
        <f t="shared" si="16"/>
        <v>CHASSIS.OUT0102.Init(Machine_IO.Outputs.FEEDERSPD_MA);</v>
      </c>
      <c r="V46" s="2" t="s">
        <v>402</v>
      </c>
    </row>
    <row r="47" spans="1:22" s="2" customFormat="1" x14ac:dyDescent="0.2">
      <c r="A47" s="17" t="s">
        <v>91</v>
      </c>
      <c r="B47" s="17" t="s">
        <v>19</v>
      </c>
      <c r="C47" s="19">
        <v>45</v>
      </c>
      <c r="D47" s="17" t="s">
        <v>71</v>
      </c>
      <c r="E47" s="17" t="str">
        <f t="shared" si="6"/>
        <v>CR0709.OUT0103</v>
      </c>
      <c r="F47" s="17" t="s">
        <v>56</v>
      </c>
      <c r="G47" s="21" t="str">
        <f>_xlfn.XLOOKUP(E47,IfmPinRef!$B$2:$B$199,IfmPinRef!$H$2:$H$199)</f>
        <v>a9</v>
      </c>
      <c r="H47" s="21" t="str">
        <f>_xlfn.XLOOKUP(E47,IfmPinRef!$B$2:$B$199,IfmPinRef!$I$2:$I$199)</f>
        <v>PWM 2.5A</v>
      </c>
      <c r="I47" s="21" t="s">
        <v>39</v>
      </c>
      <c r="J47" s="21" t="str">
        <f t="shared" si="1"/>
        <v>CHASSIS.OUT0103</v>
      </c>
      <c r="K47" s="31" t="s">
        <v>230</v>
      </c>
      <c r="L47" s="19" t="str">
        <f t="shared" si="7"/>
        <v>CRANKENABLE</v>
      </c>
      <c r="M47" s="19" t="str">
        <f t="shared" si="12"/>
        <v>CrankEnable:BOOL;</v>
      </c>
      <c r="N47" s="20" t="str">
        <f t="shared" si="17"/>
        <v>CRANKENABLE:OpCom; // CHASSIS.OUT0103</v>
      </c>
      <c r="O47" s="20" t="str">
        <f t="shared" si="18"/>
        <v>Machine_IO.Outputs.CRANKENABLE</v>
      </c>
      <c r="P47" s="20" t="str">
        <f t="shared" si="10"/>
        <v>Machine_IO.Outputs.CRANKENABLE.Dig</v>
      </c>
      <c r="Q47" s="20" t="str">
        <f t="shared" si="13"/>
        <v>Machine_IO.Outputs.CRANKENABLE(); // CR0709.OUT0103</v>
      </c>
      <c r="R47" s="20" t="str">
        <f t="shared" si="19"/>
        <v>Machine_IO.Outputs.CRANKENABLE.Init('CHASSIS','CRANKENABLE','OUT0103','a9',NVL_Outputs_States_CHASSIS.All.OUT0103,NVL_IO_CHASSIS.All_Outputs_Diag.OUT0103,Machine_IO.Node_CHASSIS);</v>
      </c>
      <c r="S47" s="20" t="str">
        <f t="shared" si="14"/>
        <v>CrankEnable: Mimic_Output_FB; // CHASSIS:OUT0103</v>
      </c>
      <c r="T47" s="20" t="str">
        <f t="shared" si="15"/>
        <v>CHASSIS.OUT0103();</v>
      </c>
      <c r="U47" s="20" t="str">
        <f t="shared" si="16"/>
        <v>CHASSIS.OUT0103.Init(Machine_IO.Outputs.CRANKENABLE);</v>
      </c>
    </row>
    <row r="48" spans="1:22" s="2" customFormat="1" x14ac:dyDescent="0.2">
      <c r="A48" s="17" t="s">
        <v>91</v>
      </c>
      <c r="B48" s="17" t="s">
        <v>19</v>
      </c>
      <c r="C48" s="19">
        <v>46</v>
      </c>
      <c r="D48" s="17" t="s">
        <v>72</v>
      </c>
      <c r="E48" s="17" t="str">
        <f t="shared" si="6"/>
        <v>CR0709.OUT0104</v>
      </c>
      <c r="F48" s="17" t="s">
        <v>56</v>
      </c>
      <c r="G48" s="21" t="str">
        <f>_xlfn.XLOOKUP(E48,IfmPinRef!$B$2:$B$199,IfmPinRef!$H$2:$H$199)</f>
        <v>a10</v>
      </c>
      <c r="H48" s="21" t="str">
        <f>_xlfn.XLOOKUP(E48,IfmPinRef!$B$2:$B$199,IfmPinRef!$I$2:$I$199)</f>
        <v>PWM 2.5A</v>
      </c>
      <c r="I48" s="21" t="s">
        <v>39</v>
      </c>
      <c r="J48" s="21" t="str">
        <f t="shared" si="1"/>
        <v>CHASSIS.OUT0104</v>
      </c>
      <c r="K48" s="19" t="s">
        <v>231</v>
      </c>
      <c r="L48" s="19" t="str">
        <f t="shared" si="7"/>
        <v>DIVERTOILTOTRACK_OP</v>
      </c>
      <c r="M48" s="19" t="str">
        <f t="shared" si="12"/>
        <v>DivertOilToTrack_OP:BOOL;</v>
      </c>
      <c r="N48" s="20" t="str">
        <f t="shared" si="17"/>
        <v>DIVERTOILTOTRACK_OP:OpCom; // CHASSIS.OUT0104</v>
      </c>
      <c r="O48" s="20" t="str">
        <f t="shared" si="18"/>
        <v>Machine_IO.Outputs.DIVERTOILTOTRACK_OP</v>
      </c>
      <c r="P48" s="20" t="str">
        <f t="shared" si="10"/>
        <v>Machine_IO.Outputs.DIVERTOILTOTRACK_OP.Dig</v>
      </c>
      <c r="Q48" s="20" t="str">
        <f t="shared" si="13"/>
        <v>Machine_IO.Outputs.DIVERTOILTOTRACK_OP(); // CR0709.OUT0104</v>
      </c>
      <c r="R48" s="20" t="str">
        <f t="shared" si="19"/>
        <v>Machine_IO.Outputs.DIVERTOILTOTRACK_OP.Init('CHASSIS','DIVERTOILTOTRACK_OP','OUT0104','a10',NVL_Outputs_States_CHASSIS.All.OUT0104,NVL_IO_CHASSIS.All_Outputs_Diag.OUT0104,Machine_IO.Node_CHASSIS);</v>
      </c>
      <c r="S48" s="20" t="str">
        <f t="shared" si="14"/>
        <v>DivertOilToTrack_OP: Mimic_Output_FB; // CHASSIS:OUT0104</v>
      </c>
      <c r="T48" s="20" t="str">
        <f t="shared" si="15"/>
        <v>CHASSIS.OUT0104();</v>
      </c>
      <c r="U48" s="20" t="str">
        <f t="shared" si="16"/>
        <v>CHASSIS.OUT0104.Init(Machine_IO.Outputs.DIVERTOILTOTRACK_OP);</v>
      </c>
    </row>
    <row r="49" spans="1:22" s="2" customFormat="1" x14ac:dyDescent="0.2">
      <c r="A49" s="17" t="s">
        <v>91</v>
      </c>
      <c r="B49" s="17" t="s">
        <v>19</v>
      </c>
      <c r="C49" s="19">
        <v>47</v>
      </c>
      <c r="D49" s="17" t="s">
        <v>73</v>
      </c>
      <c r="E49" s="17" t="str">
        <f t="shared" si="6"/>
        <v>CR0709.OUT0105</v>
      </c>
      <c r="F49" s="17" t="s">
        <v>56</v>
      </c>
      <c r="G49" s="21" t="str">
        <f>_xlfn.XLOOKUP(E49,IfmPinRef!$B$2:$B$199,IfmPinRef!$H$2:$H$199)</f>
        <v>a11</v>
      </c>
      <c r="H49" s="21" t="str">
        <f>_xlfn.XLOOKUP(E49,IfmPinRef!$B$2:$B$199,IfmPinRef!$I$2:$I$199)</f>
        <v>PWM 2.5A</v>
      </c>
      <c r="I49" s="21" t="s">
        <v>39</v>
      </c>
      <c r="J49" s="21" t="str">
        <f t="shared" si="1"/>
        <v>CHASSIS.OUT0105</v>
      </c>
      <c r="K49" s="19" t="s">
        <v>232</v>
      </c>
      <c r="L49" s="19" t="str">
        <f t="shared" si="7"/>
        <v>RHS_JACKLEGRAISE_OP</v>
      </c>
      <c r="M49" s="19" t="str">
        <f t="shared" si="12"/>
        <v>RHS_JackLegRaise_OP:BOOL;</v>
      </c>
      <c r="N49" s="20" t="str">
        <f t="shared" si="17"/>
        <v>RHS_JACKLEGRAISE_OP:OpCom; // CHASSIS.OUT0105</v>
      </c>
      <c r="O49" s="20" t="str">
        <f t="shared" si="18"/>
        <v>Machine_IO.Outputs.RHS_JACKLEGRAISE_OP</v>
      </c>
      <c r="P49" s="20" t="str">
        <f t="shared" si="10"/>
        <v>Machine_IO.Outputs.RHS_JACKLEGRAISE_OP.Dig</v>
      </c>
      <c r="Q49" s="20" t="str">
        <f t="shared" si="13"/>
        <v>Machine_IO.Outputs.RHS_JACKLEGRAISE_OP(); // CR0709.OUT0105</v>
      </c>
      <c r="R49" s="20" t="str">
        <f t="shared" si="19"/>
        <v>Machine_IO.Outputs.RHS_JACKLEGRAISE_OP.Init('CHASSIS','RHS_JACKLEGRAISE_OP','OUT0105','a11',NVL_Outputs_States_CHASSIS.All.OUT0105,NVL_IO_CHASSIS.All_Outputs_Diag.OUT0105,Machine_IO.Node_CHASSIS);</v>
      </c>
      <c r="S49" s="20" t="str">
        <f t="shared" si="14"/>
        <v>RHS_JackLegRaise_OP: Mimic_Output_FB; // CHASSIS:OUT0105</v>
      </c>
      <c r="T49" s="20" t="str">
        <f t="shared" si="15"/>
        <v>CHASSIS.OUT0105();</v>
      </c>
      <c r="U49" s="20" t="str">
        <f t="shared" si="16"/>
        <v>CHASSIS.OUT0105.Init(Machine_IO.Outputs.RHS_JACKLEGRAISE_OP);</v>
      </c>
    </row>
    <row r="50" spans="1:22" s="2" customFormat="1" x14ac:dyDescent="0.2">
      <c r="A50" s="17" t="s">
        <v>91</v>
      </c>
      <c r="B50" s="17" t="s">
        <v>19</v>
      </c>
      <c r="C50" s="19">
        <v>48</v>
      </c>
      <c r="D50" s="17" t="s">
        <v>74</v>
      </c>
      <c r="E50" s="17" t="str">
        <f t="shared" si="6"/>
        <v>CR0709.OUT0106</v>
      </c>
      <c r="F50" s="17" t="s">
        <v>56</v>
      </c>
      <c r="G50" s="21" t="str">
        <f>_xlfn.XLOOKUP(E50,IfmPinRef!$B$2:$B$199,IfmPinRef!$H$2:$H$199)</f>
        <v>a12</v>
      </c>
      <c r="H50" s="21" t="str">
        <f>_xlfn.XLOOKUP(E50,IfmPinRef!$B$2:$B$199,IfmPinRef!$I$2:$I$199)</f>
        <v>PWM 4A</v>
      </c>
      <c r="I50" s="21" t="s">
        <v>39</v>
      </c>
      <c r="J50" s="21" t="str">
        <f t="shared" si="1"/>
        <v>CHASSIS.OUT0106</v>
      </c>
      <c r="K50" s="19" t="s">
        <v>233</v>
      </c>
      <c r="L50" s="19" t="str">
        <f t="shared" si="7"/>
        <v>TAILCONVON_OP</v>
      </c>
      <c r="M50" s="19" t="str">
        <f t="shared" si="12"/>
        <v>TailConvOn_OP:BOOL;</v>
      </c>
      <c r="N50" s="20" t="str">
        <f t="shared" si="17"/>
        <v>TAILCONVON_OP:OpCom; // CHASSIS.OUT0106</v>
      </c>
      <c r="O50" s="20" t="str">
        <f t="shared" si="18"/>
        <v>Machine_IO.Outputs.TAILCONVON_OP</v>
      </c>
      <c r="P50" s="20" t="str">
        <f t="shared" si="10"/>
        <v>Machine_IO.Outputs.TAILCONVON_OP.Dig</v>
      </c>
      <c r="Q50" s="20" t="str">
        <f t="shared" si="13"/>
        <v>Machine_IO.Outputs.TAILCONVON_OP(); // CR0709.OUT0106</v>
      </c>
      <c r="R50" s="20" t="str">
        <f t="shared" si="19"/>
        <v>Machine_IO.Outputs.TAILCONVON_OP.Init('CHASSIS','TAILCONVON_OP','OUT0106','a12',NVL_Outputs_States_CHASSIS.All.OUT0106,NVL_IO_CHASSIS.All_Outputs_Diag.OUT0106,Machine_IO.Node_CHASSIS);</v>
      </c>
      <c r="S50" s="20" t="str">
        <f t="shared" si="14"/>
        <v>TailConvOn_OP: Mimic_Output_FB; // CHASSIS:OUT0106</v>
      </c>
      <c r="T50" s="20" t="str">
        <f t="shared" si="15"/>
        <v>CHASSIS.OUT0106();</v>
      </c>
      <c r="U50" s="20" t="str">
        <f t="shared" si="16"/>
        <v>CHASSIS.OUT0106.Init(Machine_IO.Outputs.TAILCONVON_OP);</v>
      </c>
    </row>
    <row r="51" spans="1:22" x14ac:dyDescent="0.2">
      <c r="A51" s="17" t="s">
        <v>91</v>
      </c>
      <c r="B51" s="17" t="s">
        <v>19</v>
      </c>
      <c r="C51" s="19">
        <v>49</v>
      </c>
      <c r="D51" s="17" t="s">
        <v>75</v>
      </c>
      <c r="E51" s="17" t="str">
        <f t="shared" si="6"/>
        <v>CR0709.OUT0107</v>
      </c>
      <c r="F51" s="17" t="s">
        <v>56</v>
      </c>
      <c r="G51" s="21" t="str">
        <f>_xlfn.XLOOKUP(E51,IfmPinRef!$B$2:$B$199,IfmPinRef!$H$2:$H$199)</f>
        <v>a13</v>
      </c>
      <c r="H51" s="21" t="str">
        <f>_xlfn.XLOOKUP(E51,IfmPinRef!$B$2:$B$199,IfmPinRef!$I$2:$I$199)</f>
        <v>PWM 4A</v>
      </c>
      <c r="I51" s="21" t="s">
        <v>39</v>
      </c>
      <c r="J51" s="21" t="str">
        <f t="shared" si="1"/>
        <v>CHASSIS.OUT0107</v>
      </c>
      <c r="K51" s="19" t="s">
        <v>234</v>
      </c>
      <c r="L51" s="19" t="str">
        <f t="shared" si="7"/>
        <v>SIDECONVON_OP</v>
      </c>
      <c r="M51" s="19" t="str">
        <f t="shared" si="12"/>
        <v>SideConvOn_OP:BOOL;</v>
      </c>
      <c r="N51" s="20" t="str">
        <f t="shared" si="17"/>
        <v>SIDECONVON_OP:OpCom; // CHASSIS.OUT0107</v>
      </c>
      <c r="O51" s="20" t="str">
        <f t="shared" si="18"/>
        <v>Machine_IO.Outputs.SIDECONVON_OP</v>
      </c>
      <c r="P51" s="20" t="str">
        <f t="shared" si="10"/>
        <v>Machine_IO.Outputs.SIDECONVON_OP.Dig</v>
      </c>
      <c r="Q51" s="20" t="str">
        <f t="shared" si="13"/>
        <v>Machine_IO.Outputs.SIDECONVON_OP(); // CR0709.OUT0107</v>
      </c>
      <c r="R51" s="20" t="str">
        <f t="shared" si="19"/>
        <v>Machine_IO.Outputs.SIDECONVON_OP.Init('CHASSIS','SIDECONVON_OP','OUT0107','a13',NVL_Outputs_States_CHASSIS.All.OUT0107,NVL_IO_CHASSIS.All_Outputs_Diag.OUT0107,Machine_IO.Node_CHASSIS);</v>
      </c>
      <c r="S51" s="20" t="str">
        <f t="shared" si="14"/>
        <v>SideConvOn_OP: Mimic_Output_FB; // CHASSIS:OUT0107</v>
      </c>
      <c r="T51" s="20" t="str">
        <f t="shared" si="15"/>
        <v>CHASSIS.OUT0107();</v>
      </c>
      <c r="U51" s="20" t="str">
        <f t="shared" si="16"/>
        <v>CHASSIS.OUT0107.Init(Machine_IO.Outputs.SIDECONVON_OP);</v>
      </c>
      <c r="V51" s="4" t="s">
        <v>402</v>
      </c>
    </row>
    <row r="52" spans="1:22" x14ac:dyDescent="0.2">
      <c r="A52" s="17" t="s">
        <v>91</v>
      </c>
      <c r="B52" s="17" t="s">
        <v>19</v>
      </c>
      <c r="C52" s="19">
        <v>50</v>
      </c>
      <c r="D52" s="17" t="s">
        <v>76</v>
      </c>
      <c r="E52" s="17" t="str">
        <f t="shared" si="6"/>
        <v>CR0709.OUT0108</v>
      </c>
      <c r="F52" s="17" t="s">
        <v>56</v>
      </c>
      <c r="G52" s="21" t="str">
        <f>_xlfn.XLOOKUP(E52,IfmPinRef!$B$2:$B$199,IfmPinRef!$H$2:$H$199)</f>
        <v>a14</v>
      </c>
      <c r="H52" s="21" t="str">
        <f>_xlfn.XLOOKUP(E52,IfmPinRef!$B$2:$B$199,IfmPinRef!$I$2:$I$199)</f>
        <v>PWM 4A</v>
      </c>
      <c r="I52" s="21" t="s">
        <v>39</v>
      </c>
      <c r="J52" s="21" t="str">
        <f t="shared" si="1"/>
        <v>CHASSIS.OUT0108</v>
      </c>
      <c r="K52" s="19" t="s">
        <v>235</v>
      </c>
      <c r="L52" s="19" t="str">
        <f t="shared" si="7"/>
        <v>SIDETRANSFERON_OP</v>
      </c>
      <c r="M52" s="19" t="str">
        <f t="shared" si="12"/>
        <v>SideTransferOn_OP:BOOL;</v>
      </c>
      <c r="N52" s="20" t="str">
        <f t="shared" si="17"/>
        <v>SIDETRANSFERON_OP:OpCom; // CHASSIS.OUT0108</v>
      </c>
      <c r="O52" s="20" t="str">
        <f t="shared" si="18"/>
        <v>Machine_IO.Outputs.SIDETRANSFERON_OP</v>
      </c>
      <c r="P52" s="20" t="str">
        <f t="shared" si="10"/>
        <v>Machine_IO.Outputs.SIDETRANSFERON_OP.Dig</v>
      </c>
      <c r="Q52" s="20" t="str">
        <f t="shared" si="13"/>
        <v>Machine_IO.Outputs.SIDETRANSFERON_OP(); // CR0709.OUT0108</v>
      </c>
      <c r="R52" s="20" t="str">
        <f t="shared" si="19"/>
        <v>Machine_IO.Outputs.SIDETRANSFERON_OP.Init('CHASSIS','SIDETRANSFERON_OP','OUT0108','a14',NVL_Outputs_States_CHASSIS.All.OUT0108,NVL_IO_CHASSIS.All_Outputs_Diag.OUT0108,Machine_IO.Node_CHASSIS);</v>
      </c>
      <c r="S52" s="20" t="str">
        <f t="shared" si="14"/>
        <v>SideTransferOn_OP: Mimic_Output_FB; // CHASSIS:OUT0108</v>
      </c>
      <c r="T52" s="20" t="str">
        <f t="shared" si="15"/>
        <v>CHASSIS.OUT0108();</v>
      </c>
      <c r="U52" s="20" t="str">
        <f t="shared" si="16"/>
        <v>CHASSIS.OUT0108.Init(Machine_IO.Outputs.SIDETRANSFERON_OP);</v>
      </c>
    </row>
    <row r="53" spans="1:22" s="2" customFormat="1" x14ac:dyDescent="0.2">
      <c r="A53" s="17" t="s">
        <v>91</v>
      </c>
      <c r="B53" s="17" t="s">
        <v>19</v>
      </c>
      <c r="C53" s="19">
        <v>63</v>
      </c>
      <c r="D53" s="17" t="s">
        <v>77</v>
      </c>
      <c r="E53" s="17" t="str">
        <f>_xlfn.CONCAT(B53,".",D53)</f>
        <v>CR0709.GROUP1</v>
      </c>
      <c r="F53" s="17" t="s">
        <v>66</v>
      </c>
      <c r="G53" s="21" t="str">
        <f>_xlfn.XLOOKUP(E53,IfmPinRef!$B$2:$B$199,IfmPinRef!$H$2:$H$199)</f>
        <v>a3</v>
      </c>
      <c r="H53" s="21" t="str">
        <f>_xlfn.XLOOKUP(E53,IfmPinRef!$B$2:$B$199,IfmPinRef!$I$2:$I$199)</f>
        <v>Supply Op Grp1</v>
      </c>
      <c r="I53" s="21" t="s">
        <v>67</v>
      </c>
      <c r="J53" s="21" t="str">
        <f t="shared" si="1"/>
        <v>CHASSIS.GROUP1</v>
      </c>
      <c r="K53" s="19" t="s">
        <v>247</v>
      </c>
      <c r="L53" s="19" t="str">
        <f t="shared" si="7"/>
        <v>SUPPLY_GROUP1</v>
      </c>
      <c r="M53" s="19" t="str">
        <f t="shared" si="12"/>
        <v>SUPPLY_GROUP1:BOOL;</v>
      </c>
      <c r="N53" s="20" t="str">
        <f t="shared" si="17"/>
        <v>SUPPLY_GROUP1:OpCom; // CHASSIS.GROUP1</v>
      </c>
      <c r="O53" s="20" t="str">
        <f t="shared" si="18"/>
        <v>Machine_IO.Outputs.SUPPLY_GROUP1</v>
      </c>
      <c r="P53" s="20" t="str">
        <f t="shared" si="10"/>
        <v>Machine_IO.Outputs.SUPPLY_GROUP1.Dig</v>
      </c>
      <c r="Q53" s="20" t="str">
        <f t="shared" si="13"/>
        <v>Machine_IO.Outputs.SUPPLY_GROUP1(); // CR0709.GROUP1</v>
      </c>
      <c r="R53" s="20" t="str">
        <f t="shared" si="19"/>
        <v>Machine_IO.Outputs.SUPPLY_GROUP1.Init('CHASSIS','SUPPLY_GROUP1','GROUP1','a3',NVL_Outputs_States_CHASSIS.All.GROUP1,NVL_IO_CHASSIS.All_Outputs_Diag.GROUP1,Machine_IO.Node_CHASSIS);</v>
      </c>
      <c r="S53" s="20" t="str">
        <f t="shared" si="14"/>
        <v>SUPPLY_GROUP1: Mimic_Output_FB; // CHASSIS:GROUP1</v>
      </c>
      <c r="T53" s="20" t="str">
        <f t="shared" si="15"/>
        <v>CHASSIS.GROUP1();</v>
      </c>
      <c r="U53" s="20" t="str">
        <f t="shared" si="16"/>
        <v>CHASSIS.GROUP1.Init(Machine_IO.Outputs.SUPPLY_GROUP1);</v>
      </c>
    </row>
    <row r="54" spans="1:22" x14ac:dyDescent="0.2">
      <c r="A54" s="17" t="s">
        <v>91</v>
      </c>
      <c r="B54" s="17" t="s">
        <v>19</v>
      </c>
      <c r="C54" s="19">
        <v>51</v>
      </c>
      <c r="D54" s="17" t="s">
        <v>78</v>
      </c>
      <c r="E54" s="17" t="str">
        <f t="shared" si="6"/>
        <v>CR0709.OUT0200</v>
      </c>
      <c r="F54" s="17" t="s">
        <v>56</v>
      </c>
      <c r="G54" s="21" t="str">
        <f>_xlfn.XLOOKUP(E54,IfmPinRef!$B$2:$B$199,IfmPinRef!$H$2:$H$199)</f>
        <v>a73</v>
      </c>
      <c r="H54" s="21" t="str">
        <f>_xlfn.XLOOKUP(E54,IfmPinRef!$B$2:$B$199,IfmPinRef!$I$2:$I$199)</f>
        <v>PWM 2.5A</v>
      </c>
      <c r="I54" s="21" t="s">
        <v>39</v>
      </c>
      <c r="J54" s="21" t="str">
        <f t="shared" si="1"/>
        <v>CHASSIS.OUT0200</v>
      </c>
      <c r="K54" s="31" t="s">
        <v>236</v>
      </c>
      <c r="L54" s="19" t="str">
        <f t="shared" si="7"/>
        <v>LEFTTRACKDIVERT_OP</v>
      </c>
      <c r="M54" s="19" t="str">
        <f t="shared" si="12"/>
        <v>LeftTrackDivert_OP:BOOL;</v>
      </c>
      <c r="N54" s="20" t="str">
        <f t="shared" si="17"/>
        <v>LEFTTRACKDIVERT_OP:OpCom; // CHASSIS.OUT0200</v>
      </c>
      <c r="O54" s="20" t="str">
        <f t="shared" si="18"/>
        <v>Machine_IO.Outputs.LEFTTRACKDIVERT_OP</v>
      </c>
      <c r="P54" s="20" t="str">
        <f t="shared" si="10"/>
        <v>Machine_IO.Outputs.LEFTTRACKDIVERT_OP.Dig</v>
      </c>
      <c r="Q54" s="20" t="str">
        <f t="shared" si="13"/>
        <v>Machine_IO.Outputs.LEFTTRACKDIVERT_OP(); // CR0709.OUT0200</v>
      </c>
      <c r="R54" s="20" t="str">
        <f t="shared" si="19"/>
        <v>Machine_IO.Outputs.LEFTTRACKDIVERT_OP.Init('CHASSIS','LEFTTRACKDIVERT_OP','OUT0200','a73',NVL_Outputs_States_CHASSIS.All.OUT0200,NVL_IO_CHASSIS.All_Outputs_Diag.OUT0200,Machine_IO.Node_CHASSIS);</v>
      </c>
      <c r="S54" s="20" t="str">
        <f t="shared" si="14"/>
        <v>LeftTrackDivert_OP: Mimic_Output_FB; // CHASSIS:OUT0200</v>
      </c>
      <c r="T54" s="20" t="str">
        <f t="shared" si="15"/>
        <v>CHASSIS.OUT0200();</v>
      </c>
      <c r="U54" s="20" t="str">
        <f t="shared" si="16"/>
        <v>CHASSIS.OUT0200.Init(Machine_IO.Outputs.LEFTTRACKDIVERT_OP);</v>
      </c>
    </row>
    <row r="55" spans="1:22" x14ac:dyDescent="0.2">
      <c r="A55" s="17" t="s">
        <v>91</v>
      </c>
      <c r="B55" s="17" t="s">
        <v>19</v>
      </c>
      <c r="C55" s="19">
        <v>52</v>
      </c>
      <c r="D55" s="17" t="s">
        <v>79</v>
      </c>
      <c r="E55" s="17" t="str">
        <f t="shared" si="6"/>
        <v>CR0709.OUT0201</v>
      </c>
      <c r="F55" s="17" t="s">
        <v>56</v>
      </c>
      <c r="G55" s="21" t="str">
        <f>_xlfn.XLOOKUP(E55,IfmPinRef!$B$2:$B$199,IfmPinRef!$H$2:$H$199)</f>
        <v>a74</v>
      </c>
      <c r="H55" s="21" t="str">
        <f>_xlfn.XLOOKUP(E55,IfmPinRef!$B$2:$B$199,IfmPinRef!$I$2:$I$199)</f>
        <v>PWM 2.5A</v>
      </c>
      <c r="I55" s="21" t="s">
        <v>39</v>
      </c>
      <c r="J55" s="21" t="str">
        <f t="shared" si="1"/>
        <v>CHASSIS.OUT0201</v>
      </c>
      <c r="K55" s="31" t="s">
        <v>237</v>
      </c>
      <c r="L55" s="19" t="str">
        <f t="shared" si="7"/>
        <v>LTF_OP</v>
      </c>
      <c r="M55" s="19" t="str">
        <f t="shared" si="12"/>
        <v>LTF_OP:BOOL;</v>
      </c>
      <c r="N55" s="20" t="str">
        <f t="shared" si="17"/>
        <v>LTF_OP:OpCom; // CHASSIS.OUT0201</v>
      </c>
      <c r="O55" s="20" t="str">
        <f t="shared" si="18"/>
        <v>Machine_IO.Outputs.LTF_OP</v>
      </c>
      <c r="P55" s="20" t="str">
        <f t="shared" si="10"/>
        <v>Machine_IO.Outputs.LTF_OP.Dig</v>
      </c>
      <c r="Q55" s="20" t="str">
        <f t="shared" si="13"/>
        <v>Machine_IO.Outputs.LTF_OP(); // CR0709.OUT0201</v>
      </c>
      <c r="R55" s="20" t="str">
        <f t="shared" si="19"/>
        <v>Machine_IO.Outputs.LTF_OP.Init('CHASSIS','LTF_OP','OUT0201','a74',NVL_Outputs_States_CHASSIS.All.OUT0201,NVL_IO_CHASSIS.All_Outputs_Diag.OUT0201,Machine_IO.Node_CHASSIS);</v>
      </c>
      <c r="S55" s="20" t="str">
        <f t="shared" si="14"/>
        <v>LTF_OP: Mimic_Output_FB; // CHASSIS:OUT0201</v>
      </c>
      <c r="T55" s="20" t="str">
        <f t="shared" si="15"/>
        <v>CHASSIS.OUT0201();</v>
      </c>
      <c r="U55" s="20" t="str">
        <f t="shared" si="16"/>
        <v>CHASSIS.OUT0201.Init(Machine_IO.Outputs.LTF_OP);</v>
      </c>
    </row>
    <row r="56" spans="1:22" s="2" customFormat="1" x14ac:dyDescent="0.2">
      <c r="A56" s="17" t="s">
        <v>91</v>
      </c>
      <c r="B56" s="17" t="s">
        <v>19</v>
      </c>
      <c r="C56" s="19">
        <v>53</v>
      </c>
      <c r="D56" s="17" t="s">
        <v>80</v>
      </c>
      <c r="E56" s="17" t="str">
        <f t="shared" si="6"/>
        <v>CR0709.OUT0202</v>
      </c>
      <c r="F56" s="17" t="s">
        <v>56</v>
      </c>
      <c r="G56" s="21" t="str">
        <f>_xlfn.XLOOKUP(E56,IfmPinRef!$B$2:$B$199,IfmPinRef!$H$2:$H$199)</f>
        <v>a75</v>
      </c>
      <c r="H56" s="21" t="str">
        <f>_xlfn.XLOOKUP(E56,IfmPinRef!$B$2:$B$199,IfmPinRef!$I$2:$I$199)</f>
        <v>PWM 2.5A</v>
      </c>
      <c r="I56" s="21" t="s">
        <v>39</v>
      </c>
      <c r="J56" s="21" t="str">
        <f t="shared" si="1"/>
        <v>CHASSIS.OUT0202</v>
      </c>
      <c r="K56" s="31" t="s">
        <v>238</v>
      </c>
      <c r="L56" s="19" t="str">
        <f t="shared" si="7"/>
        <v>LTR_OP</v>
      </c>
      <c r="M56" s="19" t="str">
        <f t="shared" si="12"/>
        <v>LTR_OP:BOOL;</v>
      </c>
      <c r="N56" s="20" t="str">
        <f t="shared" si="17"/>
        <v>LTR_OP:OpCom; // CHASSIS.OUT0202</v>
      </c>
      <c r="O56" s="20" t="str">
        <f t="shared" si="18"/>
        <v>Machine_IO.Outputs.LTR_OP</v>
      </c>
      <c r="P56" s="20" t="str">
        <f t="shared" si="10"/>
        <v>Machine_IO.Outputs.LTR_OP.Dig</v>
      </c>
      <c r="Q56" s="20" t="str">
        <f t="shared" si="13"/>
        <v>Machine_IO.Outputs.LTR_OP(); // CR0709.OUT0202</v>
      </c>
      <c r="R56" s="20" t="str">
        <f t="shared" si="19"/>
        <v>Machine_IO.Outputs.LTR_OP.Init('CHASSIS','LTR_OP','OUT0202','a75',NVL_Outputs_States_CHASSIS.All.OUT0202,NVL_IO_CHASSIS.All_Outputs_Diag.OUT0202,Machine_IO.Node_CHASSIS);</v>
      </c>
      <c r="S56" s="20" t="str">
        <f t="shared" si="14"/>
        <v>LTR_OP: Mimic_Output_FB; // CHASSIS:OUT0202</v>
      </c>
      <c r="T56" s="20" t="str">
        <f t="shared" si="15"/>
        <v>CHASSIS.OUT0202();</v>
      </c>
      <c r="U56" s="20" t="str">
        <f t="shared" si="16"/>
        <v>CHASSIS.OUT0202.Init(Machine_IO.Outputs.LTR_OP);</v>
      </c>
    </row>
    <row r="57" spans="1:22" x14ac:dyDescent="0.2">
      <c r="A57" s="17" t="s">
        <v>91</v>
      </c>
      <c r="B57" s="17" t="s">
        <v>19</v>
      </c>
      <c r="C57" s="19">
        <v>54</v>
      </c>
      <c r="D57" s="17" t="s">
        <v>81</v>
      </c>
      <c r="E57" s="17" t="str">
        <f t="shared" si="6"/>
        <v>CR0709.OUT0203</v>
      </c>
      <c r="F57" s="17" t="s">
        <v>56</v>
      </c>
      <c r="G57" s="21" t="str">
        <f>_xlfn.XLOOKUP(E57,IfmPinRef!$B$2:$B$199,IfmPinRef!$H$2:$H$199)</f>
        <v>a76</v>
      </c>
      <c r="H57" s="21" t="str">
        <f>_xlfn.XLOOKUP(E57,IfmPinRef!$B$2:$B$199,IfmPinRef!$I$2:$I$199)</f>
        <v>PWM 2.5A</v>
      </c>
      <c r="I57" s="21" t="s">
        <v>39</v>
      </c>
      <c r="J57" s="21" t="str">
        <f t="shared" si="1"/>
        <v>CHASSIS.OUT0203</v>
      </c>
      <c r="K57" s="31" t="s">
        <v>239</v>
      </c>
      <c r="L57" s="19" t="str">
        <f t="shared" si="7"/>
        <v>RIGHTTRACKDIVERT_OP</v>
      </c>
      <c r="M57" s="19" t="str">
        <f t="shared" si="12"/>
        <v>RightTrackDivert_OP:BOOL;</v>
      </c>
      <c r="N57" s="20" t="str">
        <f t="shared" si="17"/>
        <v>RIGHTTRACKDIVERT_OP:OpCom; // CHASSIS.OUT0203</v>
      </c>
      <c r="O57" s="20" t="str">
        <f t="shared" si="18"/>
        <v>Machine_IO.Outputs.RIGHTTRACKDIVERT_OP</v>
      </c>
      <c r="P57" s="20" t="str">
        <f t="shared" si="10"/>
        <v>Machine_IO.Outputs.RIGHTTRACKDIVERT_OP.Dig</v>
      </c>
      <c r="Q57" s="20" t="str">
        <f t="shared" si="13"/>
        <v>Machine_IO.Outputs.RIGHTTRACKDIVERT_OP(); // CR0709.OUT0203</v>
      </c>
      <c r="R57" s="20" t="str">
        <f t="shared" si="19"/>
        <v>Machine_IO.Outputs.RIGHTTRACKDIVERT_OP.Init('CHASSIS','RIGHTTRACKDIVERT_OP','OUT0203','a76',NVL_Outputs_States_CHASSIS.All.OUT0203,NVL_IO_CHASSIS.All_Outputs_Diag.OUT0203,Machine_IO.Node_CHASSIS);</v>
      </c>
      <c r="S57" s="20" t="str">
        <f t="shared" si="14"/>
        <v>RightTrackDivert_OP: Mimic_Output_FB; // CHASSIS:OUT0203</v>
      </c>
      <c r="T57" s="20" t="str">
        <f t="shared" si="15"/>
        <v>CHASSIS.OUT0203();</v>
      </c>
      <c r="U57" s="20" t="str">
        <f t="shared" si="16"/>
        <v>CHASSIS.OUT0203.Init(Machine_IO.Outputs.RIGHTTRACKDIVERT_OP);</v>
      </c>
    </row>
    <row r="58" spans="1:22" x14ac:dyDescent="0.2">
      <c r="A58" s="17" t="s">
        <v>91</v>
      </c>
      <c r="B58" s="17" t="s">
        <v>19</v>
      </c>
      <c r="C58" s="19">
        <v>55</v>
      </c>
      <c r="D58" s="17" t="s">
        <v>82</v>
      </c>
      <c r="E58" s="17" t="str">
        <f t="shared" si="6"/>
        <v>CR0709.OUT0204</v>
      </c>
      <c r="F58" s="17" t="s">
        <v>56</v>
      </c>
      <c r="G58" s="21" t="str">
        <f>_xlfn.XLOOKUP(E58,IfmPinRef!$B$2:$B$199,IfmPinRef!$H$2:$H$199)</f>
        <v>a77</v>
      </c>
      <c r="H58" s="21" t="str">
        <f>_xlfn.XLOOKUP(E58,IfmPinRef!$B$2:$B$199,IfmPinRef!$I$2:$I$199)</f>
        <v>PWM 2.5A</v>
      </c>
      <c r="I58" s="21" t="s">
        <v>39</v>
      </c>
      <c r="J58" s="21" t="str">
        <f t="shared" si="1"/>
        <v>CHASSIS.OUT0204</v>
      </c>
      <c r="K58" s="31" t="s">
        <v>240</v>
      </c>
      <c r="L58" s="19" t="str">
        <f t="shared" si="7"/>
        <v>RTF_OP</v>
      </c>
      <c r="M58" s="19" t="str">
        <f t="shared" si="12"/>
        <v>RTF_OP:BOOL;</v>
      </c>
      <c r="N58" s="20" t="str">
        <f t="shared" si="17"/>
        <v>RTF_OP:OpCom; // CHASSIS.OUT0204</v>
      </c>
      <c r="O58" s="20" t="str">
        <f t="shared" si="18"/>
        <v>Machine_IO.Outputs.RTF_OP</v>
      </c>
      <c r="P58" s="20" t="str">
        <f t="shared" si="10"/>
        <v>Machine_IO.Outputs.RTF_OP.Dig</v>
      </c>
      <c r="Q58" s="20" t="str">
        <f t="shared" si="13"/>
        <v>Machine_IO.Outputs.RTF_OP(); // CR0709.OUT0204</v>
      </c>
      <c r="R58" s="20" t="str">
        <f t="shared" si="19"/>
        <v>Machine_IO.Outputs.RTF_OP.Init('CHASSIS','RTF_OP','OUT0204','a77',NVL_Outputs_States_CHASSIS.All.OUT0204,NVL_IO_CHASSIS.All_Outputs_Diag.OUT0204,Machine_IO.Node_CHASSIS);</v>
      </c>
      <c r="S58" s="20" t="str">
        <f t="shared" si="14"/>
        <v>RTF_OP: Mimic_Output_FB; // CHASSIS:OUT0204</v>
      </c>
      <c r="T58" s="20" t="str">
        <f t="shared" si="15"/>
        <v>CHASSIS.OUT0204();</v>
      </c>
      <c r="U58" s="20" t="str">
        <f t="shared" si="16"/>
        <v>CHASSIS.OUT0204.Init(Machine_IO.Outputs.RTF_OP);</v>
      </c>
    </row>
    <row r="59" spans="1:22" x14ac:dyDescent="0.2">
      <c r="A59" s="17" t="s">
        <v>91</v>
      </c>
      <c r="B59" s="17" t="s">
        <v>19</v>
      </c>
      <c r="C59" s="19">
        <v>56</v>
      </c>
      <c r="D59" s="17" t="s">
        <v>83</v>
      </c>
      <c r="E59" s="17" t="str">
        <f t="shared" si="6"/>
        <v>CR0709.OUT0205</v>
      </c>
      <c r="F59" s="17" t="s">
        <v>56</v>
      </c>
      <c r="G59" s="21" t="str">
        <f>_xlfn.XLOOKUP(E59,IfmPinRef!$B$2:$B$199,IfmPinRef!$H$2:$H$199)</f>
        <v>a78</v>
      </c>
      <c r="H59" s="21" t="str">
        <f>_xlfn.XLOOKUP(E59,IfmPinRef!$B$2:$B$199,IfmPinRef!$I$2:$I$199)</f>
        <v>PWM 2.5A</v>
      </c>
      <c r="I59" s="21" t="s">
        <v>39</v>
      </c>
      <c r="J59" s="21" t="str">
        <f t="shared" si="1"/>
        <v>CHASSIS.OUT0205</v>
      </c>
      <c r="K59" s="31" t="s">
        <v>241</v>
      </c>
      <c r="L59" s="19" t="str">
        <f t="shared" si="7"/>
        <v>RTR_OP</v>
      </c>
      <c r="M59" s="19" t="str">
        <f t="shared" si="12"/>
        <v>RTR_OP:BOOL;</v>
      </c>
      <c r="N59" s="20" t="str">
        <f t="shared" si="17"/>
        <v>RTR_OP:OpCom; // CHASSIS.OUT0205</v>
      </c>
      <c r="O59" s="20" t="str">
        <f t="shared" si="18"/>
        <v>Machine_IO.Outputs.RTR_OP</v>
      </c>
      <c r="P59" s="20" t="str">
        <f t="shared" si="10"/>
        <v>Machine_IO.Outputs.RTR_OP.Dig</v>
      </c>
      <c r="Q59" s="20" t="str">
        <f t="shared" si="13"/>
        <v>Machine_IO.Outputs.RTR_OP(); // CR0709.OUT0205</v>
      </c>
      <c r="R59" s="20" t="str">
        <f t="shared" si="19"/>
        <v>Machine_IO.Outputs.RTR_OP.Init('CHASSIS','RTR_OP','OUT0205','a78',NVL_Outputs_States_CHASSIS.All.OUT0205,NVL_IO_CHASSIS.All_Outputs_Diag.OUT0205,Machine_IO.Node_CHASSIS);</v>
      </c>
      <c r="S59" s="20" t="str">
        <f t="shared" si="14"/>
        <v>RTR_OP: Mimic_Output_FB; // CHASSIS:OUT0205</v>
      </c>
      <c r="T59" s="20" t="str">
        <f t="shared" si="15"/>
        <v>CHASSIS.OUT0205();</v>
      </c>
      <c r="U59" s="20" t="str">
        <f t="shared" si="16"/>
        <v>CHASSIS.OUT0205.Init(Machine_IO.Outputs.RTR_OP);</v>
      </c>
    </row>
    <row r="60" spans="1:22" s="2" customFormat="1" x14ac:dyDescent="0.2">
      <c r="A60" s="17" t="s">
        <v>91</v>
      </c>
      <c r="B60" s="17" t="s">
        <v>19</v>
      </c>
      <c r="C60" s="19">
        <v>57</v>
      </c>
      <c r="D60" s="17" t="s">
        <v>84</v>
      </c>
      <c r="E60" s="17" t="str">
        <f t="shared" si="6"/>
        <v>CR0709.OUT0206</v>
      </c>
      <c r="F60" s="17" t="s">
        <v>56</v>
      </c>
      <c r="G60" s="21" t="str">
        <f>_xlfn.XLOOKUP(E60,IfmPinRef!$B$2:$B$199,IfmPinRef!$H$2:$H$199)</f>
        <v>a79</v>
      </c>
      <c r="H60" s="21" t="str">
        <f>_xlfn.XLOOKUP(E60,IfmPinRef!$B$2:$B$199,IfmPinRef!$I$2:$I$199)</f>
        <v>PWM 4A</v>
      </c>
      <c r="I60" s="21" t="s">
        <v>39</v>
      </c>
      <c r="J60" s="21" t="str">
        <f t="shared" si="1"/>
        <v>CHASSIS.OUT0206</v>
      </c>
      <c r="K60" s="19" t="s">
        <v>242</v>
      </c>
      <c r="L60" s="19" t="str">
        <f t="shared" si="7"/>
        <v>DRUMONOFF_OP</v>
      </c>
      <c r="M60" s="19" t="str">
        <f t="shared" si="12"/>
        <v>DrumOnOff_OP:BOOL;</v>
      </c>
      <c r="N60" s="20" t="str">
        <f t="shared" si="17"/>
        <v>DRUMONOFF_OP:OpCom; // CHASSIS.OUT0206</v>
      </c>
      <c r="O60" s="20" t="str">
        <f t="shared" si="18"/>
        <v>Machine_IO.Outputs.DRUMONOFF_OP</v>
      </c>
      <c r="P60" s="20" t="str">
        <f t="shared" si="10"/>
        <v>Machine_IO.Outputs.DRUMONOFF_OP.Dig</v>
      </c>
      <c r="Q60" s="20" t="str">
        <f t="shared" si="13"/>
        <v>Machine_IO.Outputs.DRUMONOFF_OP(); // CR0709.OUT0206</v>
      </c>
      <c r="R60" s="20" t="str">
        <f t="shared" si="19"/>
        <v>Machine_IO.Outputs.DRUMONOFF_OP.Init('CHASSIS','DRUMONOFF_OP','OUT0206','a79',NVL_Outputs_States_CHASSIS.All.OUT0206,NVL_IO_CHASSIS.All_Outputs_Diag.OUT0206,Machine_IO.Node_CHASSIS);</v>
      </c>
      <c r="S60" s="20" t="str">
        <f t="shared" si="14"/>
        <v>DrumOnOff_OP: Mimic_Output_FB; // CHASSIS:OUT0206</v>
      </c>
      <c r="T60" s="20" t="str">
        <f t="shared" si="15"/>
        <v>CHASSIS.OUT0206();</v>
      </c>
      <c r="U60" s="20" t="str">
        <f t="shared" si="16"/>
        <v>CHASSIS.OUT0206.Init(Machine_IO.Outputs.DRUMONOFF_OP);</v>
      </c>
    </row>
    <row r="61" spans="1:22" s="2" customFormat="1" x14ac:dyDescent="0.2">
      <c r="A61" s="17" t="s">
        <v>91</v>
      </c>
      <c r="B61" s="17" t="s">
        <v>19</v>
      </c>
      <c r="C61" s="19">
        <v>58</v>
      </c>
      <c r="D61" s="17" t="s">
        <v>85</v>
      </c>
      <c r="E61" s="17" t="str">
        <f t="shared" si="6"/>
        <v>CR0709.OUT0207</v>
      </c>
      <c r="F61" s="17" t="s">
        <v>56</v>
      </c>
      <c r="G61" s="21" t="str">
        <f>_xlfn.XLOOKUP(E61,IfmPinRef!$B$2:$B$199,IfmPinRef!$H$2:$H$199)</f>
        <v>a80</v>
      </c>
      <c r="H61" s="21" t="str">
        <f>_xlfn.XLOOKUP(E61,IfmPinRef!$B$2:$B$199,IfmPinRef!$I$2:$I$199)</f>
        <v>PWM 4A</v>
      </c>
      <c r="I61" s="21" t="s">
        <v>39</v>
      </c>
      <c r="J61" s="21" t="str">
        <f t="shared" si="1"/>
        <v>CHASSIS.OUT0207</v>
      </c>
      <c r="K61" s="19" t="s">
        <v>243</v>
      </c>
      <c r="L61" s="19" t="str">
        <f t="shared" si="7"/>
        <v>FEEDERONOFF_OP</v>
      </c>
      <c r="M61" s="19" t="str">
        <f t="shared" si="12"/>
        <v>FeederOnOff_OP:BOOL;</v>
      </c>
      <c r="N61" s="20" t="str">
        <f t="shared" si="17"/>
        <v>FEEDERONOFF_OP:OpCom; // CHASSIS.OUT0207</v>
      </c>
      <c r="O61" s="20" t="str">
        <f t="shared" si="18"/>
        <v>Machine_IO.Outputs.FEEDERONOFF_OP</v>
      </c>
      <c r="P61" s="20" t="str">
        <f t="shared" si="10"/>
        <v>Machine_IO.Outputs.FEEDERONOFF_OP.Dig</v>
      </c>
      <c r="Q61" s="20" t="str">
        <f t="shared" si="13"/>
        <v>Machine_IO.Outputs.FEEDERONOFF_OP(); // CR0709.OUT0207</v>
      </c>
      <c r="R61" s="20" t="str">
        <f t="shared" si="19"/>
        <v>Machine_IO.Outputs.FEEDERONOFF_OP.Init('CHASSIS','FEEDERONOFF_OP','OUT0207','a80',NVL_Outputs_States_CHASSIS.All.OUT0207,NVL_IO_CHASSIS.All_Outputs_Diag.OUT0207,Machine_IO.Node_CHASSIS);</v>
      </c>
      <c r="S61" s="20" t="str">
        <f t="shared" si="14"/>
        <v>FeederOnOff_OP: Mimic_Output_FB; // CHASSIS:OUT0207</v>
      </c>
      <c r="T61" s="20" t="str">
        <f t="shared" si="15"/>
        <v>CHASSIS.OUT0207();</v>
      </c>
      <c r="U61" s="20" t="str">
        <f t="shared" si="16"/>
        <v>CHASSIS.OUT0207.Init(Machine_IO.Outputs.FEEDERONOFF_OP);</v>
      </c>
    </row>
    <row r="62" spans="1:22" s="2" customFormat="1" x14ac:dyDescent="0.2">
      <c r="A62" s="17" t="s">
        <v>91</v>
      </c>
      <c r="B62" s="17" t="s">
        <v>19</v>
      </c>
      <c r="C62" s="19">
        <v>59</v>
      </c>
      <c r="D62" s="17" t="s">
        <v>86</v>
      </c>
      <c r="E62" s="17" t="str">
        <f t="shared" si="6"/>
        <v>CR0709.OUT0208</v>
      </c>
      <c r="F62" s="17" t="s">
        <v>56</v>
      </c>
      <c r="G62" s="21" t="str">
        <f>_xlfn.XLOOKUP(E62,IfmPinRef!$B$2:$B$199,IfmPinRef!$H$2:$H$199)</f>
        <v>a81</v>
      </c>
      <c r="H62" s="21" t="str">
        <f>_xlfn.XLOOKUP(E62,IfmPinRef!$B$2:$B$199,IfmPinRef!$I$2:$I$199)</f>
        <v>PWM 4A</v>
      </c>
      <c r="I62" s="21" t="s">
        <v>39</v>
      </c>
      <c r="J62" s="21" t="str">
        <f t="shared" si="1"/>
        <v>CHASSIS.OUT0208</v>
      </c>
      <c r="K62" s="31" t="s">
        <v>244</v>
      </c>
      <c r="L62" s="19" t="str">
        <f t="shared" si="7"/>
        <v>ECUENABLE</v>
      </c>
      <c r="M62" s="19" t="str">
        <f t="shared" si="12"/>
        <v>ECUenable:BOOL;</v>
      </c>
      <c r="N62" s="20" t="str">
        <f t="shared" si="17"/>
        <v>ECUENABLE:OpCom; // CHASSIS.OUT0208</v>
      </c>
      <c r="O62" s="20" t="str">
        <f t="shared" si="18"/>
        <v>Machine_IO.Outputs.ECUENABLE</v>
      </c>
      <c r="P62" s="20" t="str">
        <f t="shared" si="10"/>
        <v>Machine_IO.Outputs.ECUENABLE.Dig</v>
      </c>
      <c r="Q62" s="20" t="str">
        <f t="shared" si="13"/>
        <v>Machine_IO.Outputs.ECUENABLE(); // CR0709.OUT0208</v>
      </c>
      <c r="R62" s="20" t="str">
        <f t="shared" si="19"/>
        <v>Machine_IO.Outputs.ECUENABLE.Init('CHASSIS','ECUENABLE','OUT0208','a81',NVL_Outputs_States_CHASSIS.All.OUT0208,NVL_IO_CHASSIS.All_Outputs_Diag.OUT0208,Machine_IO.Node_CHASSIS);</v>
      </c>
      <c r="S62" s="20" t="str">
        <f t="shared" si="14"/>
        <v>ECUenable: Mimic_Output_FB; // CHASSIS:OUT0208</v>
      </c>
      <c r="T62" s="20" t="str">
        <f t="shared" si="15"/>
        <v>CHASSIS.OUT0208();</v>
      </c>
      <c r="U62" s="20" t="str">
        <f t="shared" si="16"/>
        <v>CHASSIS.OUT0208.Init(Machine_IO.Outputs.ECUENABLE);</v>
      </c>
    </row>
    <row r="63" spans="1:22" s="2" customFormat="1" x14ac:dyDescent="0.2">
      <c r="A63" s="17" t="s">
        <v>91</v>
      </c>
      <c r="B63" s="17" t="s">
        <v>19</v>
      </c>
      <c r="C63" s="19">
        <v>64</v>
      </c>
      <c r="D63" s="17" t="s">
        <v>87</v>
      </c>
      <c r="E63" s="17" t="str">
        <f>_xlfn.CONCAT(B63,".",D63)</f>
        <v>CR0709.GROUP2</v>
      </c>
      <c r="F63" s="17" t="s">
        <v>66</v>
      </c>
      <c r="G63" s="21" t="str">
        <f>_xlfn.XLOOKUP(E63,IfmPinRef!$B$2:$B$199,IfmPinRef!$H$2:$H$199)</f>
        <v>a1</v>
      </c>
      <c r="H63" s="21" t="str">
        <f>_xlfn.XLOOKUP(E63,IfmPinRef!$B$2:$B$199,IfmPinRef!$I$2:$I$199)</f>
        <v>Supply Op Grp2</v>
      </c>
      <c r="I63" s="21" t="s">
        <v>67</v>
      </c>
      <c r="J63" s="21" t="str">
        <f t="shared" si="1"/>
        <v>CHASSIS.GROUP2</v>
      </c>
      <c r="K63" s="19" t="s">
        <v>248</v>
      </c>
      <c r="L63" s="19" t="str">
        <f t="shared" si="7"/>
        <v>SUPPLY_GROUP2</v>
      </c>
      <c r="M63" s="19" t="str">
        <f t="shared" si="12"/>
        <v>SUPPLY_GROUP2:BOOL;</v>
      </c>
      <c r="N63" s="20" t="str">
        <f t="shared" si="17"/>
        <v>SUPPLY_GROUP2:OpCom; // CHASSIS.GROUP2</v>
      </c>
      <c r="O63" s="20" t="str">
        <f t="shared" si="18"/>
        <v>Machine_IO.Outputs.SUPPLY_GROUP2</v>
      </c>
      <c r="P63" s="20" t="str">
        <f t="shared" si="10"/>
        <v>Machine_IO.Outputs.SUPPLY_GROUP2.Dig</v>
      </c>
      <c r="Q63" s="20" t="str">
        <f t="shared" si="13"/>
        <v>Machine_IO.Outputs.SUPPLY_GROUP2(); // CR0709.GROUP2</v>
      </c>
      <c r="R63" s="20" t="str">
        <f t="shared" si="19"/>
        <v>Machine_IO.Outputs.SUPPLY_GROUP2.Init('CHASSIS','SUPPLY_GROUP2','GROUP2','a1',NVL_Outputs_States_CHASSIS.All.GROUP2,NVL_IO_CHASSIS.All_Outputs_Diag.GROUP2,Machine_IO.Node_CHASSIS);</v>
      </c>
      <c r="S63" s="20" t="str">
        <f t="shared" si="14"/>
        <v>SUPPLY_GROUP2: Mimic_Output_FB; // CHASSIS:GROUP2</v>
      </c>
      <c r="T63" s="20" t="str">
        <f t="shared" si="15"/>
        <v>CHASSIS.GROUP2();</v>
      </c>
      <c r="U63" s="20" t="str">
        <f t="shared" si="16"/>
        <v>CHASSIS.GROUP2.Init(Machine_IO.Outputs.SUPPLY_GROUP2);</v>
      </c>
    </row>
    <row r="64" spans="1:22" x14ac:dyDescent="0.2">
      <c r="A64" s="17" t="s">
        <v>91</v>
      </c>
      <c r="B64" s="17" t="s">
        <v>19</v>
      </c>
      <c r="C64" s="19">
        <v>60</v>
      </c>
      <c r="D64" s="17" t="s">
        <v>88</v>
      </c>
      <c r="E64" s="17" t="str">
        <f t="shared" si="6"/>
        <v>CR0709.OUT3000</v>
      </c>
      <c r="F64" s="17" t="s">
        <v>89</v>
      </c>
      <c r="G64" s="21" t="str">
        <f>_xlfn.XLOOKUP(E64,IfmPinRef!$B$2:$B$199,IfmPinRef!$H$2:$H$199)</f>
        <v>a31</v>
      </c>
      <c r="H64" s="21" t="str">
        <f>_xlfn.XLOOKUP(E64,IfmPinRef!$B$2:$B$199,IfmPinRef!$I$2:$I$199)</f>
        <v>5/10 V</v>
      </c>
      <c r="I64" s="21"/>
      <c r="J64" s="21" t="str">
        <f t="shared" si="1"/>
        <v>CHASSIS.OUT3000</v>
      </c>
      <c r="K64" s="19"/>
      <c r="L64" s="19" t="str">
        <f t="shared" si="7"/>
        <v>SPARE_OUT3000</v>
      </c>
      <c r="M64" s="19" t="str">
        <f t="shared" si="12"/>
        <v>:BOOL;</v>
      </c>
      <c r="N64" s="20" t="str">
        <f t="shared" si="17"/>
        <v>SPARE_OUT3000:OpCom; // CHASSIS.OUT3000</v>
      </c>
      <c r="O64" s="20" t="str">
        <f t="shared" si="18"/>
        <v>Machine_IO.Outputs.SPARE_OUT3000</v>
      </c>
      <c r="P64" s="20" t="str">
        <f t="shared" si="10"/>
        <v>Machine_IO.Outputs.SPARE_OUT3000.Dig</v>
      </c>
      <c r="Q64" s="20" t="str">
        <f t="shared" si="13"/>
        <v>Machine_IO.Outputs.SPARE_OUT3000(); // CR0709.OUT3000</v>
      </c>
      <c r="R64" s="20" t="str">
        <f t="shared" si="19"/>
        <v>Machine_IO.Outputs.SPARE_OUT3000.Init('CHASSIS','SPARE_OUT3000','OUT3000','a31',NVL_Outputs_States_CHASSIS.All.OUT3000,NVL_IO_CHASSIS.All_Outputs_Diag.OUT3000,Machine_IO.Node_CHASSIS);</v>
      </c>
      <c r="S64" s="20" t="str">
        <f t="shared" si="14"/>
        <v>: Mimic_Output_FB; // CHASSIS:OUT3000</v>
      </c>
      <c r="T64" s="20" t="str">
        <f t="shared" si="15"/>
        <v>CHASSIS.OUT3000();</v>
      </c>
      <c r="U64" s="20" t="str">
        <f t="shared" si="16"/>
        <v>CHASSIS.OUT3000.Init(Machine_IO.Outputs.SPARE_OUT3000);</v>
      </c>
    </row>
    <row r="65" spans="1:21" x14ac:dyDescent="0.2">
      <c r="A65" s="17" t="s">
        <v>91</v>
      </c>
      <c r="B65" s="17" t="s">
        <v>19</v>
      </c>
      <c r="C65" s="19">
        <v>61</v>
      </c>
      <c r="D65" s="17" t="s">
        <v>90</v>
      </c>
      <c r="E65" s="17" t="str">
        <f t="shared" si="6"/>
        <v>CR0709.OUT3001</v>
      </c>
      <c r="F65" s="17" t="s">
        <v>89</v>
      </c>
      <c r="G65" s="21" t="str">
        <f>_xlfn.XLOOKUP(E65,IfmPinRef!$B$2:$B$199,IfmPinRef!$H$2:$H$199)</f>
        <v>a32</v>
      </c>
      <c r="H65" s="21" t="str">
        <f>_xlfn.XLOOKUP(E65,IfmPinRef!$B$2:$B$199,IfmPinRef!$I$2:$I$199)</f>
        <v>10 V</v>
      </c>
      <c r="I65" s="21"/>
      <c r="J65" s="21" t="str">
        <f t="shared" si="1"/>
        <v>CHASSIS.OUT3001</v>
      </c>
      <c r="K65" s="19"/>
      <c r="L65" s="19" t="str">
        <f t="shared" si="7"/>
        <v>SPARE_OUT3001</v>
      </c>
      <c r="M65" s="19" t="str">
        <f t="shared" si="12"/>
        <v>:BOOL;</v>
      </c>
      <c r="N65" s="20" t="str">
        <f t="shared" si="17"/>
        <v>SPARE_OUT3001:OpCom; // CHASSIS.OUT3001</v>
      </c>
      <c r="O65" s="20" t="str">
        <f t="shared" si="18"/>
        <v>Machine_IO.Outputs.SPARE_OUT3001</v>
      </c>
      <c r="P65" s="20" t="str">
        <f t="shared" si="10"/>
        <v>Machine_IO.Outputs.SPARE_OUT3001.Dig</v>
      </c>
      <c r="Q65" s="20" t="str">
        <f t="shared" si="13"/>
        <v>Machine_IO.Outputs.SPARE_OUT3001(); // CR0709.OUT3001</v>
      </c>
      <c r="R65" s="20" t="str">
        <f t="shared" si="19"/>
        <v>Machine_IO.Outputs.SPARE_OUT3001.Init('CHASSIS','SPARE_OUT3001','OUT3001','a32',NVL_Outputs_States_CHASSIS.All.OUT3001,NVL_IO_CHASSIS.All_Outputs_Diag.OUT3001,Machine_IO.Node_CHASSIS);</v>
      </c>
      <c r="S65" s="20" t="str">
        <f t="shared" si="14"/>
        <v>: Mimic_Output_FB; // CHASSIS:OUT3001</v>
      </c>
      <c r="T65" s="20" t="str">
        <f t="shared" si="15"/>
        <v>CHASSIS.OUT3001();</v>
      </c>
      <c r="U65" s="20" t="str">
        <f t="shared" si="16"/>
        <v>CHASSIS.OUT3001.Init(Machine_IO.Outputs.SPARE_OUT3001);</v>
      </c>
    </row>
    <row r="66" spans="1:21" s="24" customFormat="1" ht="15.75" x14ac:dyDescent="0.25">
      <c r="A66" s="23"/>
      <c r="B66" s="23"/>
      <c r="C66" s="4"/>
      <c r="D66" s="23"/>
      <c r="E66" s="5"/>
      <c r="F66" s="23"/>
      <c r="G66" s="23"/>
      <c r="H66" s="23"/>
      <c r="I66" s="23"/>
      <c r="J66" s="23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17" t="s">
        <v>323</v>
      </c>
      <c r="B67" s="17" t="s">
        <v>324</v>
      </c>
      <c r="C67" s="19"/>
      <c r="D67" s="17" t="s">
        <v>325</v>
      </c>
      <c r="E67" s="17" t="str">
        <f t="shared" ref="E67:E74" si="20">_xlfn.CONCAT(B67,".",D67)</f>
        <v>CR0403.OP0</v>
      </c>
      <c r="F67" s="17" t="s">
        <v>56</v>
      </c>
      <c r="G67" s="21"/>
      <c r="H67" s="21"/>
      <c r="I67" s="21"/>
      <c r="J67" s="21" t="str">
        <f t="shared" ref="J67" si="21">_xlfn.CONCAT(A67,".",D67)</f>
        <v>AUX.OP0</v>
      </c>
      <c r="K67" s="19" t="s">
        <v>326</v>
      </c>
      <c r="L67" s="19" t="str">
        <f t="shared" ref="L67" si="22">IF(K67&lt;&gt;"",UPPER(K67),_xlfn.CONCAT("SPARE_",D67))</f>
        <v>SIREN</v>
      </c>
      <c r="M67" s="19" t="str">
        <f t="shared" ref="M67" si="23">_xlfn.CONCAT(K67,":BOOL;")</f>
        <v>SIREN:BOOL;</v>
      </c>
      <c r="N67" s="20" t="str">
        <f t="shared" ref="N67" si="24">_xlfn.CONCAT(L67,":OpCom; // ",A67,".",D67)</f>
        <v>SIREN:OpCom; // AUX.OP0</v>
      </c>
      <c r="O67" s="20" t="str">
        <f t="shared" ref="O67" si="25">_xlfn.CONCAT("Machine_IO.","Outputs.",L67,"")</f>
        <v>Machine_IO.Outputs.SIREN</v>
      </c>
      <c r="P67" s="20" t="str">
        <f t="shared" ref="P67" si="26">_xlfn.CONCAT(O67,".Dig")</f>
        <v>Machine_IO.Outputs.SIREN.Dig</v>
      </c>
      <c r="Q67" s="20" t="str">
        <f t="shared" ref="Q67" si="27">_xlfn.CONCAT(O67,"(); // ",E67)</f>
        <v>Machine_IO.Outputs.SIREN(); // CR0403.OP0</v>
      </c>
      <c r="R67" s="20" t="str">
        <f t="shared" ref="R67" si="28">_xlfn.CONCAT(O67,".Init('",A67,"','",L67,"','",D67,"','",G67,"',NVL_Outputs_States_",A67,".All.",D67,",NVL_IO_",A35,".All_Outputs_Diag.",D67,",Machine_IO.Node_",A67,");")</f>
        <v>Machine_IO.Outputs.SIREN.Init('AUX','SIREN','OP0','',NVL_Outputs_States_AUX.All.OP0,NVL_IO_CHASSIS.All_Outputs_Diag.OP0,Machine_IO.Node_AUX);</v>
      </c>
      <c r="S67" s="20" t="str">
        <f t="shared" ref="S67" si="29">_xlfn.CONCAT(K67,": Mimic_Output_FB; // ",A67,":",D67)</f>
        <v>SIREN: Mimic_Output_FB; // AUX:OP0</v>
      </c>
      <c r="T67" s="20" t="str">
        <f t="shared" ref="T67" si="30">_xlfn.CONCAT(A67,".",D67,"();")</f>
        <v>AUX.OP0();</v>
      </c>
      <c r="U67" s="20" t="str">
        <f t="shared" ref="U67" si="31">_xlfn.CONCAT(A67,".",D67,".Init(",O67,");")</f>
        <v>AUX.OP0.Init(Machine_IO.Outputs.SIREN);</v>
      </c>
    </row>
    <row r="68" spans="1:21" x14ac:dyDescent="0.2">
      <c r="A68" s="17" t="s">
        <v>323</v>
      </c>
      <c r="B68" s="17" t="s">
        <v>324</v>
      </c>
      <c r="C68" s="19"/>
      <c r="D68" s="17" t="s">
        <v>327</v>
      </c>
      <c r="E68" s="17" t="str">
        <f t="shared" si="20"/>
        <v>CR0403.OP1</v>
      </c>
      <c r="F68" s="17" t="s">
        <v>56</v>
      </c>
      <c r="G68" s="21"/>
      <c r="H68" s="21"/>
      <c r="I68" s="21"/>
      <c r="J68" s="21" t="str">
        <f t="shared" ref="J68:J71" si="32">_xlfn.CONCAT(A68,".",D68)</f>
        <v>AUX.OP1</v>
      </c>
      <c r="K68" s="19"/>
      <c r="L68" s="19" t="str">
        <f t="shared" ref="L68:L71" si="33">IF(K68&lt;&gt;"",UPPER(K68),_xlfn.CONCAT("SPARE_",D68))</f>
        <v>SPARE_OP1</v>
      </c>
      <c r="M68" s="19" t="str">
        <f t="shared" ref="M68:M71" si="34">_xlfn.CONCAT(K68,":BOOL;")</f>
        <v>:BOOL;</v>
      </c>
      <c r="N68" s="20" t="str">
        <f t="shared" ref="N68:N71" si="35">_xlfn.CONCAT(L68,":OpCom; // ",A68,".",D68)</f>
        <v>SPARE_OP1:OpCom; // AUX.OP1</v>
      </c>
      <c r="O68" s="20" t="str">
        <f t="shared" ref="O68:O71" si="36">_xlfn.CONCAT("Machine_IO.","Outputs.",L68,"")</f>
        <v>Machine_IO.Outputs.SPARE_OP1</v>
      </c>
      <c r="P68" s="20" t="str">
        <f t="shared" ref="P68:P71" si="37">_xlfn.CONCAT(O68,".Dig")</f>
        <v>Machine_IO.Outputs.SPARE_OP1.Dig</v>
      </c>
      <c r="Q68" s="20" t="str">
        <f t="shared" ref="Q68:Q71" si="38">_xlfn.CONCAT(O68,"(); // ",E68)</f>
        <v>Machine_IO.Outputs.SPARE_OP1(); // CR0403.OP1</v>
      </c>
      <c r="R68" s="20" t="str">
        <f t="shared" ref="R68:R71" si="39">_xlfn.CONCAT(O68,".Init('",A68,"','",L68,"','",D68,"','",G68,"',NVL_Outputs_States_",A68,".All.",D68,",NVL_IO_",A36,".All_Outputs_Diag.",D68,",Machine_IO.Node_",A68,");")</f>
        <v>Machine_IO.Outputs.SPARE_OP1.Init('AUX','SPARE_OP1','OP1','',NVL_Outputs_States_AUX.All.OP1,NVL_IO_CHASSIS.All_Outputs_Diag.OP1,Machine_IO.Node_AUX);</v>
      </c>
      <c r="S68" s="20" t="str">
        <f t="shared" ref="S68:S71" si="40">_xlfn.CONCAT(K68,": Mimic_Output_FB; // ",A68,":",D68)</f>
        <v>: Mimic_Output_FB; // AUX:OP1</v>
      </c>
      <c r="T68" s="20" t="str">
        <f t="shared" ref="T68:T71" si="41">_xlfn.CONCAT(A68,".",D68,"();")</f>
        <v>AUX.OP1();</v>
      </c>
      <c r="U68" s="20" t="str">
        <f t="shared" ref="U68:U71" si="42">_xlfn.CONCAT(A68,".",D68,".Init(",O68,");")</f>
        <v>AUX.OP1.Init(Machine_IO.Outputs.SPARE_OP1);</v>
      </c>
    </row>
    <row r="69" spans="1:21" x14ac:dyDescent="0.2">
      <c r="A69" s="17" t="s">
        <v>323</v>
      </c>
      <c r="B69" s="17" t="s">
        <v>324</v>
      </c>
      <c r="C69" s="19"/>
      <c r="D69" s="17" t="s">
        <v>328</v>
      </c>
      <c r="E69" s="17" t="str">
        <f t="shared" si="20"/>
        <v>CR0403.OP2</v>
      </c>
      <c r="F69" s="17" t="s">
        <v>56</v>
      </c>
      <c r="G69" s="21"/>
      <c r="H69" s="21"/>
      <c r="I69" s="21"/>
      <c r="J69" s="21" t="str">
        <f t="shared" si="32"/>
        <v>AUX.OP2</v>
      </c>
      <c r="K69" s="19"/>
      <c r="L69" s="19" t="str">
        <f t="shared" si="33"/>
        <v>SPARE_OP2</v>
      </c>
      <c r="M69" s="19" t="str">
        <f t="shared" si="34"/>
        <v>:BOOL;</v>
      </c>
      <c r="N69" s="20" t="str">
        <f t="shared" si="35"/>
        <v>SPARE_OP2:OpCom; // AUX.OP2</v>
      </c>
      <c r="O69" s="20" t="str">
        <f t="shared" si="36"/>
        <v>Machine_IO.Outputs.SPARE_OP2</v>
      </c>
      <c r="P69" s="20" t="str">
        <f t="shared" si="37"/>
        <v>Machine_IO.Outputs.SPARE_OP2.Dig</v>
      </c>
      <c r="Q69" s="20" t="str">
        <f t="shared" si="38"/>
        <v>Machine_IO.Outputs.SPARE_OP2(); // CR0403.OP2</v>
      </c>
      <c r="R69" s="20" t="str">
        <f t="shared" si="39"/>
        <v>Machine_IO.Outputs.SPARE_OP2.Init('AUX','SPARE_OP2','OP2','',NVL_Outputs_States_AUX.All.OP2,NVL_IO_CHASSIS.All_Outputs_Diag.OP2,Machine_IO.Node_AUX);</v>
      </c>
      <c r="S69" s="20" t="str">
        <f t="shared" si="40"/>
        <v>: Mimic_Output_FB; // AUX:OP2</v>
      </c>
      <c r="T69" s="20" t="str">
        <f t="shared" si="41"/>
        <v>AUX.OP2();</v>
      </c>
      <c r="U69" s="20" t="str">
        <f t="shared" si="42"/>
        <v>AUX.OP2.Init(Machine_IO.Outputs.SPARE_OP2);</v>
      </c>
    </row>
    <row r="70" spans="1:21" x14ac:dyDescent="0.2">
      <c r="A70" s="17" t="s">
        <v>323</v>
      </c>
      <c r="B70" s="17" t="s">
        <v>324</v>
      </c>
      <c r="C70" s="19"/>
      <c r="D70" s="17" t="s">
        <v>329</v>
      </c>
      <c r="E70" s="17" t="str">
        <f t="shared" si="20"/>
        <v>CR0403.OP3</v>
      </c>
      <c r="F70" s="17" t="s">
        <v>56</v>
      </c>
      <c r="G70" s="21"/>
      <c r="H70" s="21"/>
      <c r="I70" s="21"/>
      <c r="J70" s="21" t="str">
        <f t="shared" si="32"/>
        <v>AUX.OP3</v>
      </c>
      <c r="K70" s="19" t="s">
        <v>338</v>
      </c>
      <c r="L70" s="19" t="str">
        <f t="shared" si="33"/>
        <v>DIVERT_VALVE</v>
      </c>
      <c r="M70" s="19" t="str">
        <f t="shared" si="34"/>
        <v>DIVERT_VALVE:BOOL;</v>
      </c>
      <c r="N70" s="20" t="str">
        <f t="shared" si="35"/>
        <v>DIVERT_VALVE:OpCom; // AUX.OP3</v>
      </c>
      <c r="O70" s="20" t="str">
        <f t="shared" si="36"/>
        <v>Machine_IO.Outputs.DIVERT_VALVE</v>
      </c>
      <c r="P70" s="20" t="str">
        <f t="shared" si="37"/>
        <v>Machine_IO.Outputs.DIVERT_VALVE.Dig</v>
      </c>
      <c r="Q70" s="20" t="str">
        <f t="shared" si="38"/>
        <v>Machine_IO.Outputs.DIVERT_VALVE(); // CR0403.OP3</v>
      </c>
      <c r="R70" s="20" t="str">
        <f t="shared" si="39"/>
        <v>Machine_IO.Outputs.DIVERT_VALVE.Init('AUX','DIVERT_VALVE','OP3','',NVL_Outputs_States_AUX.All.OP3,NVL_IO_CHASSIS.All_Outputs_Diag.OP3,Machine_IO.Node_AUX);</v>
      </c>
      <c r="S70" s="20" t="str">
        <f t="shared" si="40"/>
        <v>DIVERT_VALVE: Mimic_Output_FB; // AUX:OP3</v>
      </c>
      <c r="T70" s="20" t="str">
        <f t="shared" si="41"/>
        <v>AUX.OP3();</v>
      </c>
      <c r="U70" s="20" t="str">
        <f t="shared" si="42"/>
        <v>AUX.OP3.Init(Machine_IO.Outputs.DIVERT_VALVE);</v>
      </c>
    </row>
    <row r="71" spans="1:21" x14ac:dyDescent="0.2">
      <c r="A71" s="17" t="s">
        <v>323</v>
      </c>
      <c r="B71" s="17" t="s">
        <v>324</v>
      </c>
      <c r="C71" s="19"/>
      <c r="D71" s="17" t="s">
        <v>330</v>
      </c>
      <c r="E71" s="17" t="str">
        <f t="shared" si="20"/>
        <v>CR0403.OP4</v>
      </c>
      <c r="F71" s="17" t="s">
        <v>56</v>
      </c>
      <c r="G71" s="21"/>
      <c r="H71" s="21"/>
      <c r="I71" s="21"/>
      <c r="J71" s="21" t="str">
        <f t="shared" si="32"/>
        <v>AUX.OP4</v>
      </c>
      <c r="K71" s="19" t="s">
        <v>339</v>
      </c>
      <c r="L71" s="19" t="str">
        <f t="shared" si="33"/>
        <v>FAN_FORWARD</v>
      </c>
      <c r="M71" s="19" t="str">
        <f t="shared" si="34"/>
        <v>FAN_FORWARD:BOOL;</v>
      </c>
      <c r="N71" s="20" t="str">
        <f t="shared" si="35"/>
        <v>FAN_FORWARD:OpCom; // AUX.OP4</v>
      </c>
      <c r="O71" s="20" t="str">
        <f t="shared" si="36"/>
        <v>Machine_IO.Outputs.FAN_FORWARD</v>
      </c>
      <c r="P71" s="20" t="str">
        <f t="shared" si="37"/>
        <v>Machine_IO.Outputs.FAN_FORWARD.Dig</v>
      </c>
      <c r="Q71" s="20" t="str">
        <f t="shared" si="38"/>
        <v>Machine_IO.Outputs.FAN_FORWARD(); // CR0403.OP4</v>
      </c>
      <c r="R71" s="20" t="str">
        <f t="shared" si="39"/>
        <v>Machine_IO.Outputs.FAN_FORWARD.Init('AUX','FAN_FORWARD','OP4','',NVL_Outputs_States_AUX.All.OP4,NVL_IO_CHASSIS.All_Outputs_Diag.OP4,Machine_IO.Node_AUX);</v>
      </c>
      <c r="S71" s="20" t="str">
        <f t="shared" si="40"/>
        <v>FAN_FORWARD: Mimic_Output_FB; // AUX:OP4</v>
      </c>
      <c r="T71" s="20" t="str">
        <f t="shared" si="41"/>
        <v>AUX.OP4();</v>
      </c>
      <c r="U71" s="20" t="str">
        <f t="shared" si="42"/>
        <v>AUX.OP4.Init(Machine_IO.Outputs.FAN_FORWARD);</v>
      </c>
    </row>
    <row r="72" spans="1:21" x14ac:dyDescent="0.2">
      <c r="A72" s="17" t="s">
        <v>323</v>
      </c>
      <c r="B72" s="17" t="s">
        <v>324</v>
      </c>
      <c r="C72" s="19"/>
      <c r="D72" s="17" t="s">
        <v>331</v>
      </c>
      <c r="E72" s="17" t="str">
        <f t="shared" si="20"/>
        <v>CR0403.OP5</v>
      </c>
      <c r="F72" s="17" t="s">
        <v>56</v>
      </c>
      <c r="G72" s="21"/>
      <c r="H72" s="21"/>
      <c r="I72" s="21"/>
      <c r="J72" s="21" t="str">
        <f t="shared" ref="J72:J75" si="43">_xlfn.CONCAT(A72,".",D72)</f>
        <v>AUX.OP5</v>
      </c>
      <c r="K72" s="19" t="s">
        <v>340</v>
      </c>
      <c r="L72" s="19" t="str">
        <f t="shared" ref="L72:L75" si="44">IF(K72&lt;&gt;"",UPPER(K72),_xlfn.CONCAT("SPARE_",D72))</f>
        <v>FAN_REVERSE</v>
      </c>
      <c r="M72" s="19" t="str">
        <f t="shared" ref="M72:M75" si="45">_xlfn.CONCAT(K72,":BOOL;")</f>
        <v>FAN_REVERSE:BOOL;</v>
      </c>
      <c r="N72" s="20" t="str">
        <f t="shared" ref="N72:N75" si="46">_xlfn.CONCAT(L72,":OpCom; // ",A72,".",D72)</f>
        <v>FAN_REVERSE:OpCom; // AUX.OP5</v>
      </c>
      <c r="O72" s="20" t="str">
        <f t="shared" ref="O72:O75" si="47">_xlfn.CONCAT("Machine_IO.","Outputs.",L72,"")</f>
        <v>Machine_IO.Outputs.FAN_REVERSE</v>
      </c>
      <c r="P72" s="20" t="str">
        <f t="shared" ref="P72:P75" si="48">_xlfn.CONCAT(O72,".Dig")</f>
        <v>Machine_IO.Outputs.FAN_REVERSE.Dig</v>
      </c>
      <c r="Q72" s="20" t="str">
        <f t="shared" ref="Q72:Q75" si="49">_xlfn.CONCAT(O72,"(); // ",E72)</f>
        <v>Machine_IO.Outputs.FAN_REVERSE(); // CR0403.OP5</v>
      </c>
      <c r="R72" s="20" t="str">
        <f t="shared" ref="R72:R75" si="50">_xlfn.CONCAT(O72,".Init('",A72,"','",L72,"','",D72,"','",G72,"',NVL_Outputs_States_",A72,".All.",D72,",NVL_IO_",A40,".All_Outputs_Diag.",D72,",Machine_IO.Node_",A72,");")</f>
        <v>Machine_IO.Outputs.FAN_REVERSE.Init('AUX','FAN_REVERSE','OP5','',NVL_Outputs_States_AUX.All.OP5,NVL_IO_CHASSIS.All_Outputs_Diag.OP5,Machine_IO.Node_AUX);</v>
      </c>
      <c r="S72" s="20" t="str">
        <f t="shared" ref="S72:S75" si="51">_xlfn.CONCAT(K72,": Mimic_Output_FB; // ",A72,":",D72)</f>
        <v>FAN_REVERSE: Mimic_Output_FB; // AUX:OP5</v>
      </c>
      <c r="T72" s="20" t="str">
        <f t="shared" ref="T72:T75" si="52">_xlfn.CONCAT(A72,".",D72,"();")</f>
        <v>AUX.OP5();</v>
      </c>
      <c r="U72" s="20" t="str">
        <f t="shared" ref="U72:U75" si="53">_xlfn.CONCAT(A72,".",D72,".Init(",O72,");")</f>
        <v>AUX.OP5.Init(Machine_IO.Outputs.FAN_REVERSE);</v>
      </c>
    </row>
    <row r="73" spans="1:21" x14ac:dyDescent="0.2">
      <c r="A73" s="17" t="s">
        <v>323</v>
      </c>
      <c r="B73" s="17" t="s">
        <v>324</v>
      </c>
      <c r="C73" s="19"/>
      <c r="D73" s="17" t="s">
        <v>332</v>
      </c>
      <c r="E73" s="17" t="str">
        <f t="shared" si="20"/>
        <v>CR0403.OP6</v>
      </c>
      <c r="F73" s="17" t="s">
        <v>56</v>
      </c>
      <c r="G73" s="21"/>
      <c r="H73" s="21"/>
      <c r="I73" s="21"/>
      <c r="J73" s="21" t="str">
        <f t="shared" si="43"/>
        <v>AUX.OP6</v>
      </c>
      <c r="K73" s="19" t="s">
        <v>548</v>
      </c>
      <c r="L73" s="19" t="str">
        <f t="shared" si="44"/>
        <v>SIDE_CONV_RAISE_RADIAL_LEFT</v>
      </c>
      <c r="M73" s="19" t="str">
        <f t="shared" si="45"/>
        <v>SIDE_CONV_RAISE_RADIAL_LEFT:BOOL;</v>
      </c>
      <c r="N73" s="20" t="str">
        <f t="shared" si="46"/>
        <v>SIDE_CONV_RAISE_RADIAL_LEFT:OpCom; // AUX.OP6</v>
      </c>
      <c r="O73" s="20" t="str">
        <f t="shared" si="47"/>
        <v>Machine_IO.Outputs.SIDE_CONV_RAISE_RADIAL_LEFT</v>
      </c>
      <c r="P73" s="20" t="str">
        <f t="shared" si="48"/>
        <v>Machine_IO.Outputs.SIDE_CONV_RAISE_RADIAL_LEFT.Dig</v>
      </c>
      <c r="Q73" s="20" t="str">
        <f t="shared" si="49"/>
        <v>Machine_IO.Outputs.SIDE_CONV_RAISE_RADIAL_LEFT(); // CR0403.OP6</v>
      </c>
      <c r="R73" s="20" t="str">
        <f t="shared" si="50"/>
        <v>Machine_IO.Outputs.SIDE_CONV_RAISE_RADIAL_LEFT.Init('AUX','SIDE_CONV_RAISE_RADIAL_LEFT','OP6','',NVL_Outputs_States_AUX.All.OP6,NVL_IO_CHASSIS.All_Outputs_Diag.OP6,Machine_IO.Node_AUX);</v>
      </c>
      <c r="S73" s="20" t="str">
        <f t="shared" si="51"/>
        <v>SIDE_CONV_RAISE_RADIAL_LEFT: Mimic_Output_FB; // AUX:OP6</v>
      </c>
      <c r="T73" s="20" t="str">
        <f t="shared" si="52"/>
        <v>AUX.OP6();</v>
      </c>
      <c r="U73" s="20" t="str">
        <f t="shared" si="53"/>
        <v>AUX.OP6.Init(Machine_IO.Outputs.SIDE_CONV_RAISE_RADIAL_LEFT);</v>
      </c>
    </row>
    <row r="74" spans="1:21" x14ac:dyDescent="0.2">
      <c r="A74" s="17" t="s">
        <v>323</v>
      </c>
      <c r="B74" s="17" t="s">
        <v>324</v>
      </c>
      <c r="C74" s="19"/>
      <c r="D74" s="17" t="s">
        <v>333</v>
      </c>
      <c r="E74" s="17" t="str">
        <f t="shared" si="20"/>
        <v>CR0403.OP7</v>
      </c>
      <c r="F74" s="17" t="s">
        <v>56</v>
      </c>
      <c r="G74" s="21"/>
      <c r="H74" s="21"/>
      <c r="I74" s="21"/>
      <c r="J74" s="21" t="str">
        <f t="shared" si="43"/>
        <v>AUX.OP7</v>
      </c>
      <c r="K74" s="19" t="s">
        <v>549</v>
      </c>
      <c r="L74" s="19" t="str">
        <f t="shared" si="44"/>
        <v>SIDE_CONV_LOWER_RADIAL_RIGHT</v>
      </c>
      <c r="M74" s="19" t="str">
        <f t="shared" si="45"/>
        <v>SIDE_CONV_LOWER_RADIAL_RIGHT:BOOL;</v>
      </c>
      <c r="N74" s="20" t="str">
        <f t="shared" si="46"/>
        <v>SIDE_CONV_LOWER_RADIAL_RIGHT:OpCom; // AUX.OP7</v>
      </c>
      <c r="O74" s="20" t="str">
        <f t="shared" si="47"/>
        <v>Machine_IO.Outputs.SIDE_CONV_LOWER_RADIAL_RIGHT</v>
      </c>
      <c r="P74" s="20" t="str">
        <f t="shared" si="48"/>
        <v>Machine_IO.Outputs.SIDE_CONV_LOWER_RADIAL_RIGHT.Dig</v>
      </c>
      <c r="Q74" s="20" t="str">
        <f t="shared" si="49"/>
        <v>Machine_IO.Outputs.SIDE_CONV_LOWER_RADIAL_RIGHT(); // CR0403.OP7</v>
      </c>
      <c r="R74" s="20" t="str">
        <f t="shared" si="50"/>
        <v>Machine_IO.Outputs.SIDE_CONV_LOWER_RADIAL_RIGHT.Init('AUX','SIDE_CONV_LOWER_RADIAL_RIGHT','OP7','',NVL_Outputs_States_AUX.All.OP7,NVL_IO_CHASSIS.All_Outputs_Diag.OP7,Machine_IO.Node_AUX);</v>
      </c>
      <c r="S74" s="20" t="str">
        <f t="shared" si="51"/>
        <v>SIDE_CONV_LOWER_RADIAL_RIGHT: Mimic_Output_FB; // AUX:OP7</v>
      </c>
      <c r="T74" s="20" t="str">
        <f t="shared" si="52"/>
        <v>AUX.OP7();</v>
      </c>
      <c r="U74" s="20" t="str">
        <f t="shared" si="53"/>
        <v>AUX.OP7.Init(Machine_IO.Outputs.SIDE_CONV_LOWER_RADIAL_RIGHT);</v>
      </c>
    </row>
    <row r="75" spans="1:21" x14ac:dyDescent="0.2">
      <c r="A75" s="17" t="s">
        <v>323</v>
      </c>
      <c r="B75" s="17" t="s">
        <v>324</v>
      </c>
      <c r="C75" s="19"/>
      <c r="D75" s="17" t="s">
        <v>334</v>
      </c>
      <c r="E75" s="17" t="str">
        <f t="shared" ref="E75:E78" si="54">_xlfn.CONCAT(B75,".",D75)</f>
        <v>CR0403.OP8</v>
      </c>
      <c r="F75" s="17" t="s">
        <v>56</v>
      </c>
      <c r="G75" s="21"/>
      <c r="H75" s="21"/>
      <c r="I75" s="21"/>
      <c r="J75" s="21" t="str">
        <f t="shared" si="43"/>
        <v>AUX.OP8</v>
      </c>
      <c r="K75" s="19"/>
      <c r="L75" s="19" t="str">
        <f t="shared" si="44"/>
        <v>SPARE_OP8</v>
      </c>
      <c r="M75" s="19" t="str">
        <f t="shared" si="45"/>
        <v>:BOOL;</v>
      </c>
      <c r="N75" s="20" t="str">
        <f t="shared" si="46"/>
        <v>SPARE_OP8:OpCom; // AUX.OP8</v>
      </c>
      <c r="O75" s="20" t="str">
        <f t="shared" si="47"/>
        <v>Machine_IO.Outputs.SPARE_OP8</v>
      </c>
      <c r="P75" s="20" t="str">
        <f t="shared" si="48"/>
        <v>Machine_IO.Outputs.SPARE_OP8.Dig</v>
      </c>
      <c r="Q75" s="20" t="str">
        <f t="shared" si="49"/>
        <v>Machine_IO.Outputs.SPARE_OP8(); // CR0403.OP8</v>
      </c>
      <c r="R75" s="20" t="str">
        <f t="shared" si="50"/>
        <v>Machine_IO.Outputs.SPARE_OP8.Init('AUX','SPARE_OP8','OP8','',NVL_Outputs_States_AUX.All.OP8,NVL_IO_CHASSIS.All_Outputs_Diag.OP8,Machine_IO.Node_AUX);</v>
      </c>
      <c r="S75" s="20" t="str">
        <f t="shared" si="51"/>
        <v>: Mimic_Output_FB; // AUX:OP8</v>
      </c>
      <c r="T75" s="20" t="str">
        <f t="shared" si="52"/>
        <v>AUX.OP8();</v>
      </c>
      <c r="U75" s="20" t="str">
        <f t="shared" si="53"/>
        <v>AUX.OP8.Init(Machine_IO.Outputs.SPARE_OP8);</v>
      </c>
    </row>
    <row r="76" spans="1:21" x14ac:dyDescent="0.2">
      <c r="A76" s="17" t="s">
        <v>323</v>
      </c>
      <c r="B76" s="17" t="s">
        <v>324</v>
      </c>
      <c r="C76" s="19"/>
      <c r="D76" s="17" t="s">
        <v>335</v>
      </c>
      <c r="E76" s="17" t="str">
        <f t="shared" si="54"/>
        <v>CR0403.OP9</v>
      </c>
      <c r="F76" s="17" t="s">
        <v>56</v>
      </c>
      <c r="G76" s="21"/>
      <c r="H76" s="21"/>
      <c r="I76" s="21"/>
      <c r="J76" s="21" t="str">
        <f t="shared" ref="J76:J78" si="55">_xlfn.CONCAT(A76,".",D76)</f>
        <v>AUX.OP9</v>
      </c>
      <c r="K76" s="19"/>
      <c r="L76" s="19" t="str">
        <f t="shared" ref="L76:L78" si="56">IF(K76&lt;&gt;"",UPPER(K76),_xlfn.CONCAT("SPARE_",D76))</f>
        <v>SPARE_OP9</v>
      </c>
      <c r="M76" s="19" t="str">
        <f t="shared" ref="M76:M78" si="57">_xlfn.CONCAT(K76,":BOOL;")</f>
        <v>:BOOL;</v>
      </c>
      <c r="N76" s="20" t="str">
        <f t="shared" ref="N76:N78" si="58">_xlfn.CONCAT(L76,":OpCom; // ",A76,".",D76)</f>
        <v>SPARE_OP9:OpCom; // AUX.OP9</v>
      </c>
      <c r="O76" s="20" t="str">
        <f t="shared" ref="O76:O78" si="59">_xlfn.CONCAT("Machine_IO.","Outputs.",L76,"")</f>
        <v>Machine_IO.Outputs.SPARE_OP9</v>
      </c>
      <c r="P76" s="20" t="str">
        <f t="shared" ref="P76:P78" si="60">_xlfn.CONCAT(O76,".Dig")</f>
        <v>Machine_IO.Outputs.SPARE_OP9.Dig</v>
      </c>
      <c r="Q76" s="20" t="str">
        <f t="shared" ref="Q76:Q78" si="61">_xlfn.CONCAT(O76,"(); // ",E76)</f>
        <v>Machine_IO.Outputs.SPARE_OP9(); // CR0403.OP9</v>
      </c>
      <c r="R76" s="20" t="str">
        <f t="shared" ref="R76:R78" si="62">_xlfn.CONCAT(O76,".Init('",A76,"','",L76,"','",D76,"','",G76,"',NVL_Outputs_States_",A76,".All.",D76,",NVL_IO_",A44,".All_Outputs_Diag.",D76,",Machine_IO.Node_",A76,");")</f>
        <v>Machine_IO.Outputs.SPARE_OP9.Init('AUX','SPARE_OP9','OP9','',NVL_Outputs_States_AUX.All.OP9,NVL_IO_CHASSIS.All_Outputs_Diag.OP9,Machine_IO.Node_AUX);</v>
      </c>
      <c r="S76" s="20" t="str">
        <f t="shared" ref="S76:S78" si="63">_xlfn.CONCAT(K76,": Mimic_Output_FB; // ",A76,":",D76)</f>
        <v>: Mimic_Output_FB; // AUX:OP9</v>
      </c>
      <c r="T76" s="20" t="str">
        <f t="shared" ref="T76:T78" si="64">_xlfn.CONCAT(A76,".",D76,"();")</f>
        <v>AUX.OP9();</v>
      </c>
      <c r="U76" s="20" t="str">
        <f t="shared" ref="U76:U78" si="65">_xlfn.CONCAT(A76,".",D76,".Init(",O76,");")</f>
        <v>AUX.OP9.Init(Machine_IO.Outputs.SPARE_OP9);</v>
      </c>
    </row>
    <row r="77" spans="1:21" x14ac:dyDescent="0.2">
      <c r="A77" s="17" t="s">
        <v>323</v>
      </c>
      <c r="B77" s="17" t="s">
        <v>324</v>
      </c>
      <c r="C77" s="19"/>
      <c r="D77" s="17" t="s">
        <v>336</v>
      </c>
      <c r="E77" s="17" t="str">
        <f t="shared" si="54"/>
        <v>CR0403.OP10</v>
      </c>
      <c r="F77" s="17" t="s">
        <v>56</v>
      </c>
      <c r="G77" s="21"/>
      <c r="H77" s="21"/>
      <c r="I77" s="21"/>
      <c r="J77" s="21" t="str">
        <f t="shared" si="55"/>
        <v>AUX.OP10</v>
      </c>
      <c r="K77" s="19"/>
      <c r="L77" s="19" t="str">
        <f t="shared" si="56"/>
        <v>SPARE_OP10</v>
      </c>
      <c r="M77" s="19" t="str">
        <f t="shared" si="57"/>
        <v>:BOOL;</v>
      </c>
      <c r="N77" s="20" t="str">
        <f t="shared" si="58"/>
        <v>SPARE_OP10:OpCom; // AUX.OP10</v>
      </c>
      <c r="O77" s="20" t="str">
        <f t="shared" si="59"/>
        <v>Machine_IO.Outputs.SPARE_OP10</v>
      </c>
      <c r="P77" s="20" t="str">
        <f t="shared" si="60"/>
        <v>Machine_IO.Outputs.SPARE_OP10.Dig</v>
      </c>
      <c r="Q77" s="20" t="str">
        <f t="shared" si="61"/>
        <v>Machine_IO.Outputs.SPARE_OP10(); // CR0403.OP10</v>
      </c>
      <c r="R77" s="20" t="str">
        <f t="shared" si="62"/>
        <v>Machine_IO.Outputs.SPARE_OP10.Init('AUX','SPARE_OP10','OP10','',NVL_Outputs_States_AUX.All.OP10,NVL_IO_CHASSIS.All_Outputs_Diag.OP10,Machine_IO.Node_AUX);</v>
      </c>
      <c r="S77" s="20" t="str">
        <f t="shared" si="63"/>
        <v>: Mimic_Output_FB; // AUX:OP10</v>
      </c>
      <c r="T77" s="20" t="str">
        <f t="shared" si="64"/>
        <v>AUX.OP10();</v>
      </c>
      <c r="U77" s="20" t="str">
        <f t="shared" si="65"/>
        <v>AUX.OP10.Init(Machine_IO.Outputs.SPARE_OP10);</v>
      </c>
    </row>
    <row r="78" spans="1:21" x14ac:dyDescent="0.2">
      <c r="A78" s="17" t="s">
        <v>323</v>
      </c>
      <c r="B78" s="17" t="s">
        <v>324</v>
      </c>
      <c r="C78" s="19"/>
      <c r="D78" s="17" t="s">
        <v>337</v>
      </c>
      <c r="E78" s="17" t="str">
        <f t="shared" si="54"/>
        <v>CR0403.OP11</v>
      </c>
      <c r="F78" s="17" t="s">
        <v>56</v>
      </c>
      <c r="G78" s="21"/>
      <c r="H78" s="21"/>
      <c r="I78" s="21"/>
      <c r="J78" s="21" t="str">
        <f t="shared" si="55"/>
        <v>AUX.OP11</v>
      </c>
      <c r="K78" s="19"/>
      <c r="L78" s="19" t="str">
        <f t="shared" si="56"/>
        <v>SPARE_OP11</v>
      </c>
      <c r="M78" s="19" t="str">
        <f t="shared" si="57"/>
        <v>:BOOL;</v>
      </c>
      <c r="N78" s="20" t="str">
        <f t="shared" si="58"/>
        <v>SPARE_OP11:OpCom; // AUX.OP11</v>
      </c>
      <c r="O78" s="20" t="str">
        <f t="shared" si="59"/>
        <v>Machine_IO.Outputs.SPARE_OP11</v>
      </c>
      <c r="P78" s="20" t="str">
        <f t="shared" si="60"/>
        <v>Machine_IO.Outputs.SPARE_OP11.Dig</v>
      </c>
      <c r="Q78" s="20" t="str">
        <f t="shared" si="61"/>
        <v>Machine_IO.Outputs.SPARE_OP11(); // CR0403.OP11</v>
      </c>
      <c r="R78" s="20" t="str">
        <f t="shared" si="62"/>
        <v>Machine_IO.Outputs.SPARE_OP11.Init('AUX','SPARE_OP11','OP11','',NVL_Outputs_States_AUX.All.OP11,NVL_IO_CHASSIS.All_Outputs_Diag.OP11,Machine_IO.Node_AUX);</v>
      </c>
      <c r="S78" s="20" t="str">
        <f t="shared" si="63"/>
        <v>: Mimic_Output_FB; // AUX:OP11</v>
      </c>
      <c r="T78" s="20" t="str">
        <f t="shared" si="64"/>
        <v>AUX.OP11();</v>
      </c>
      <c r="U78" s="20" t="str">
        <f t="shared" si="65"/>
        <v>AUX.OP11.Init(Machine_IO.Outputs.SPARE_OP11);</v>
      </c>
    </row>
  </sheetData>
  <autoFilter ref="A1:AP78" xr:uid="{1E4EBF08-015A-4388-B8C8-8A07CE5EF3C7}"/>
  <phoneticPr fontId="1" type="noConversion"/>
  <pageMargins left="0.23622047244094488" right="0.23622047244094488" top="0.19685039370078741" bottom="0.19685039370078741" header="0.31496062992125984" footer="0.31496062992125984"/>
  <pageSetup scale="7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DF00-F28E-4B7C-BC19-351897567202}">
  <dimension ref="A2:C135"/>
  <sheetViews>
    <sheetView workbookViewId="0">
      <selection activeCell="M1" sqref="M1:M1048576"/>
    </sheetView>
  </sheetViews>
  <sheetFormatPr defaultRowHeight="15" x14ac:dyDescent="0.25"/>
  <cols>
    <col min="1" max="1" width="4" bestFit="1" customWidth="1"/>
    <col min="2" max="2" width="40.42578125" bestFit="1" customWidth="1"/>
    <col min="3" max="3" width="73" bestFit="1" customWidth="1"/>
  </cols>
  <sheetData>
    <row r="2" spans="1:3" x14ac:dyDescent="0.25">
      <c r="A2">
        <v>0</v>
      </c>
      <c r="B2" t="s">
        <v>403</v>
      </c>
      <c r="C2" t="str">
        <f>_xlfn.CONCAT("IF CODE = ",A2," THEN&lt;cr&gt;&lt;t&gt;TEXT:='",B2,"';&lt;cr&gt;END_IF;")</f>
        <v>IF CODE = 0 THEN&lt;cr&gt;&lt;t&gt;TEXT:='STAT_INACTIVE';&lt;cr&gt;END_IF;</v>
      </c>
    </row>
    <row r="3" spans="1:3" x14ac:dyDescent="0.25">
      <c r="A3">
        <v>1</v>
      </c>
      <c r="B3" t="s">
        <v>404</v>
      </c>
      <c r="C3" t="str">
        <f t="shared" ref="C3:C66" si="0">_xlfn.CONCAT("IF CODE = ",A3," THEN&lt;cr&gt;&lt;t&gt;TEXT:='",B3,"';&lt;cr&gt;END_IF;")</f>
        <v>IF CODE = 1 THEN&lt;cr&gt;&lt;t&gt;TEXT:='STAT_DONE';&lt;cr&gt;END_IF;</v>
      </c>
    </row>
    <row r="4" spans="1:3" x14ac:dyDescent="0.25">
      <c r="A4">
        <v>2</v>
      </c>
      <c r="B4" t="s">
        <v>405</v>
      </c>
      <c r="C4" t="str">
        <f t="shared" si="0"/>
        <v>IF CODE = 2 THEN&lt;cr&gt;&lt;t&gt;TEXT:='STAT_BUSY';&lt;cr&gt;END_IF;</v>
      </c>
    </row>
    <row r="5" spans="1:3" x14ac:dyDescent="0.25">
      <c r="A5">
        <v>3</v>
      </c>
      <c r="B5" t="s">
        <v>406</v>
      </c>
      <c r="C5" t="str">
        <f t="shared" si="0"/>
        <v>IF CODE = 3 THEN&lt;cr&gt;&lt;t&gt;TEXT:='STAT_PREPARING';&lt;cr&gt;END_IF;</v>
      </c>
    </row>
    <row r="6" spans="1:3" x14ac:dyDescent="0.25">
      <c r="A6">
        <v>4</v>
      </c>
      <c r="B6" t="s">
        <v>407</v>
      </c>
      <c r="C6" t="str">
        <f t="shared" si="0"/>
        <v>IF CODE = 4 THEN&lt;cr&gt;&lt;t&gt;TEXT:='STAT_READY';&lt;cr&gt;END_IF;</v>
      </c>
    </row>
    <row r="7" spans="1:3" x14ac:dyDescent="0.25">
      <c r="A7">
        <v>5</v>
      </c>
      <c r="B7" t="s">
        <v>408</v>
      </c>
      <c r="C7" t="str">
        <f t="shared" si="0"/>
        <v>IF CODE = 5 THEN&lt;cr&gt;&lt;t&gt;TEXT:='STAT_RESET';&lt;cr&gt;END_IF;</v>
      </c>
    </row>
    <row r="8" spans="1:3" x14ac:dyDescent="0.25">
      <c r="A8">
        <v>6</v>
      </c>
      <c r="B8" t="s">
        <v>409</v>
      </c>
      <c r="C8" t="str">
        <f t="shared" si="0"/>
        <v>IF CODE = 6 THEN&lt;cr&gt;&lt;t&gt;TEXT:='STAT_ABORTED';&lt;cr&gt;END_IF;</v>
      </c>
    </row>
    <row r="9" spans="1:3" x14ac:dyDescent="0.25">
      <c r="A9">
        <v>7</v>
      </c>
      <c r="B9" t="s">
        <v>410</v>
      </c>
      <c r="C9" t="str">
        <f t="shared" si="0"/>
        <v>IF CODE = 7 THEN&lt;cr&gt;&lt;t&gt;TEXT:='RESERVED_07';&lt;cr&gt;END_IF;</v>
      </c>
    </row>
    <row r="10" spans="1:3" x14ac:dyDescent="0.25">
      <c r="A10">
        <v>8</v>
      </c>
      <c r="B10" t="s">
        <v>411</v>
      </c>
      <c r="C10" t="str">
        <f t="shared" si="0"/>
        <v>IF CODE = 8 THEN&lt;cr&gt;&lt;t&gt;TEXT:='RESERVED_08';&lt;cr&gt;END_IF;</v>
      </c>
    </row>
    <row r="11" spans="1:3" x14ac:dyDescent="0.25">
      <c r="A11">
        <v>9</v>
      </c>
      <c r="B11" t="s">
        <v>412</v>
      </c>
      <c r="C11" t="str">
        <f t="shared" si="0"/>
        <v>IF CODE = 9 THEN&lt;cr&gt;&lt;t&gt;TEXT:='RESERVED_09';&lt;cr&gt;END_IF;</v>
      </c>
    </row>
    <row r="12" spans="1:3" x14ac:dyDescent="0.25">
      <c r="A12">
        <v>10</v>
      </c>
      <c r="B12" t="s">
        <v>413</v>
      </c>
      <c r="C12" t="str">
        <f t="shared" si="0"/>
        <v>IF CODE = 10 THEN&lt;cr&gt;&lt;t&gt;TEXT:='ERR_OPEN_CIRCUIT';&lt;cr&gt;END_IF;</v>
      </c>
    </row>
    <row r="13" spans="1:3" x14ac:dyDescent="0.25">
      <c r="A13">
        <v>11</v>
      </c>
      <c r="B13" t="s">
        <v>414</v>
      </c>
      <c r="C13" t="str">
        <f t="shared" si="0"/>
        <v>IF CODE = 11 THEN&lt;cr&gt;&lt;t&gt;TEXT:='ERR_SHORT_CIRCUIT';&lt;cr&gt;END_IF;</v>
      </c>
    </row>
    <row r="14" spans="1:3" x14ac:dyDescent="0.25">
      <c r="A14">
        <v>12</v>
      </c>
      <c r="B14" t="s">
        <v>415</v>
      </c>
      <c r="C14" t="str">
        <f t="shared" si="0"/>
        <v>IF CODE = 12 THEN&lt;cr&gt;&lt;t&gt;TEXT:='ERR_OVERLOAD_CURRENT';&lt;cr&gt;END_IF;</v>
      </c>
    </row>
    <row r="15" spans="1:3" x14ac:dyDescent="0.25">
      <c r="A15">
        <v>13</v>
      </c>
      <c r="B15" t="s">
        <v>416</v>
      </c>
      <c r="C15" t="str">
        <f t="shared" si="0"/>
        <v>IF CODE = 13 THEN&lt;cr&gt;&lt;t&gt;TEXT:='ERR_LOW_CURRENT';&lt;cr&gt;END_IF;</v>
      </c>
    </row>
    <row r="16" spans="1:3" x14ac:dyDescent="0.25">
      <c r="A16">
        <v>14</v>
      </c>
      <c r="B16" t="s">
        <v>417</v>
      </c>
      <c r="C16" t="str">
        <f t="shared" si="0"/>
        <v>IF CODE = 14 THEN&lt;cr&gt;&lt;t&gt;TEXT:='ERR_UNDERVOLTAGE_VBBX';&lt;cr&gt;END_IF;</v>
      </c>
    </row>
    <row r="17" spans="1:3" x14ac:dyDescent="0.25">
      <c r="A17">
        <v>15</v>
      </c>
      <c r="B17" t="s">
        <v>418</v>
      </c>
      <c r="C17" t="str">
        <f t="shared" si="0"/>
        <v>IF CODE = 15 THEN&lt;cr&gt;&lt;t&gt;TEXT:='ERR_OVERVOLTAGE_VBBX';&lt;cr&gt;END_IF;</v>
      </c>
    </row>
    <row r="18" spans="1:3" x14ac:dyDescent="0.25">
      <c r="A18">
        <v>16</v>
      </c>
      <c r="B18" t="s">
        <v>419</v>
      </c>
      <c r="C18" t="str">
        <f t="shared" si="0"/>
        <v>IF CODE = 16 THEN&lt;cr&gt;&lt;t&gt;TEXT:='ERR_STUCK_AT_HIGH';&lt;cr&gt;END_IF;</v>
      </c>
    </row>
    <row r="19" spans="1:3" x14ac:dyDescent="0.25">
      <c r="A19">
        <v>17</v>
      </c>
      <c r="B19" t="s">
        <v>420</v>
      </c>
      <c r="C19" t="str">
        <f t="shared" si="0"/>
        <v>IF CODE = 17 THEN&lt;cr&gt;&lt;t&gt;TEXT:='ERR_STUCK_AT_LOW';&lt;cr&gt;END_IF;</v>
      </c>
    </row>
    <row r="20" spans="1:3" x14ac:dyDescent="0.25">
      <c r="A20">
        <v>18</v>
      </c>
      <c r="B20" t="s">
        <v>421</v>
      </c>
      <c r="C20" t="str">
        <f t="shared" si="0"/>
        <v>IF CODE = 18 THEN&lt;cr&gt;&lt;t&gt;TEXT:='ERR_HIGH_TEMPERATURE';&lt;cr&gt;END_IF;</v>
      </c>
    </row>
    <row r="21" spans="1:3" x14ac:dyDescent="0.25">
      <c r="A21">
        <v>19</v>
      </c>
      <c r="B21" t="s">
        <v>422</v>
      </c>
      <c r="C21" t="str">
        <f t="shared" si="0"/>
        <v>IF CODE = 19 THEN&lt;cr&gt;&lt;t&gt;TEXT:='ERR_LOW_TEMPERATURE';&lt;cr&gt;END_IF;</v>
      </c>
    </row>
    <row r="22" spans="1:3" x14ac:dyDescent="0.25">
      <c r="A22">
        <v>20</v>
      </c>
      <c r="B22" t="s">
        <v>423</v>
      </c>
      <c r="C22" t="str">
        <f t="shared" si="0"/>
        <v>IF CODE = 20 THEN&lt;cr&gt;&lt;t&gt;TEXT:='ERR_INVALID_VALUE';&lt;cr&gt;END_IF;</v>
      </c>
    </row>
    <row r="23" spans="1:3" x14ac:dyDescent="0.25">
      <c r="A23">
        <v>21</v>
      </c>
      <c r="B23" t="s">
        <v>424</v>
      </c>
      <c r="C23" t="str">
        <f t="shared" si="0"/>
        <v>IF CODE = 21 THEN&lt;cr&gt;&lt;t&gt;TEXT:='ERR_INVALID_CHANNEL';&lt;cr&gt;END_IF;</v>
      </c>
    </row>
    <row r="24" spans="1:3" x14ac:dyDescent="0.25">
      <c r="A24">
        <v>22</v>
      </c>
      <c r="B24" t="s">
        <v>425</v>
      </c>
      <c r="C24" t="str">
        <f t="shared" si="0"/>
        <v>IF CODE = 22 THEN&lt;cr&gt;&lt;t&gt;TEXT:='ERR_INVALID_MODE';&lt;cr&gt;END_IF;</v>
      </c>
    </row>
    <row r="25" spans="1:3" x14ac:dyDescent="0.25">
      <c r="A25">
        <v>23</v>
      </c>
      <c r="B25" t="s">
        <v>426</v>
      </c>
      <c r="C25" t="str">
        <f t="shared" si="0"/>
        <v>IF CODE = 23 THEN&lt;cr&gt;&lt;t&gt;TEXT:='ERR_INVALID_FREQUENCY';&lt;cr&gt;END_IF;</v>
      </c>
    </row>
    <row r="26" spans="1:3" x14ac:dyDescent="0.25">
      <c r="A26">
        <v>24</v>
      </c>
      <c r="B26" t="s">
        <v>427</v>
      </c>
      <c r="C26" t="str">
        <f t="shared" si="0"/>
        <v>IF CODE = 24 THEN&lt;cr&gt;&lt;t&gt;TEXT:='ERR_INVALID_DITHER';&lt;cr&gt;END_IF;</v>
      </c>
    </row>
    <row r="27" spans="1:3" x14ac:dyDescent="0.25">
      <c r="A27">
        <v>25</v>
      </c>
      <c r="B27" t="s">
        <v>428</v>
      </c>
      <c r="C27" t="str">
        <f t="shared" si="0"/>
        <v>IF CODE = 25 THEN&lt;cr&gt;&lt;t&gt;TEXT:='ERR_INVALID_FILTER';&lt;cr&gt;END_IF;</v>
      </c>
    </row>
    <row r="28" spans="1:3" x14ac:dyDescent="0.25">
      <c r="A28">
        <v>26</v>
      </c>
      <c r="B28" t="s">
        <v>429</v>
      </c>
      <c r="C28" t="str">
        <f t="shared" si="0"/>
        <v>IF CODE = 26 THEN&lt;cr&gt;&lt;t&gt;TEXT:='ERR_UNREACHABLE_CURRENT';&lt;cr&gt;END_IF;</v>
      </c>
    </row>
    <row r="29" spans="1:3" x14ac:dyDescent="0.25">
      <c r="A29">
        <v>27</v>
      </c>
      <c r="B29" t="s">
        <v>430</v>
      </c>
      <c r="C29" t="str">
        <f t="shared" si="0"/>
        <v>IF CODE = 27 THEN&lt;cr&gt;&lt;t&gt;TEXT:='ERR_SLOW_SIGNAL';&lt;cr&gt;END_IF;</v>
      </c>
    </row>
    <row r="30" spans="1:3" x14ac:dyDescent="0.25">
      <c r="A30">
        <v>28</v>
      </c>
      <c r="B30" t="s">
        <v>431</v>
      </c>
      <c r="C30" t="str">
        <f t="shared" si="0"/>
        <v>IF CODE = 28 THEN&lt;cr&gt;&lt;t&gt;TEXT:='ERR_CHANGEOVER_TIME';&lt;cr&gt;END_IF;</v>
      </c>
    </row>
    <row r="31" spans="1:3" x14ac:dyDescent="0.25">
      <c r="A31">
        <v>29</v>
      </c>
      <c r="B31" t="s">
        <v>432</v>
      </c>
      <c r="C31" t="str">
        <f t="shared" si="0"/>
        <v>IF CODE = 29 THEN&lt;cr&gt;&lt;t&gt;TEXT:='ERR_INSTANCE';&lt;cr&gt;END_IF;</v>
      </c>
    </row>
    <row r="32" spans="1:3" x14ac:dyDescent="0.25">
      <c r="A32">
        <v>30</v>
      </c>
      <c r="B32" t="s">
        <v>433</v>
      </c>
      <c r="C32" t="str">
        <f t="shared" si="0"/>
        <v>IF CODE = 30 THEN&lt;cr&gt;&lt;t&gt;TEXT:='ERR_INSTANCE_LIMIT';&lt;cr&gt;END_IF;</v>
      </c>
    </row>
    <row r="33" spans="1:3" x14ac:dyDescent="0.25">
      <c r="A33">
        <v>31</v>
      </c>
      <c r="B33" t="s">
        <v>434</v>
      </c>
      <c r="C33" t="str">
        <f t="shared" si="0"/>
        <v>IF CODE = 31 THEN&lt;cr&gt;&lt;t&gt;TEXT:='ERR_INVALID_COLOUR';&lt;cr&gt;END_IF;</v>
      </c>
    </row>
    <row r="34" spans="1:3" x14ac:dyDescent="0.25">
      <c r="A34">
        <v>32</v>
      </c>
      <c r="B34" t="s">
        <v>435</v>
      </c>
      <c r="C34" t="str">
        <f t="shared" si="0"/>
        <v>IF CODE = 32 THEN&lt;cr&gt;&lt;t&gt;TEXT:='ERR_NO_IDENTITY';&lt;cr&gt;END_IF;</v>
      </c>
    </row>
    <row r="35" spans="1:3" x14ac:dyDescent="0.25">
      <c r="A35">
        <v>33</v>
      </c>
      <c r="B35" t="s">
        <v>436</v>
      </c>
      <c r="C35" t="str">
        <f t="shared" si="0"/>
        <v>IF CODE = 33 THEN&lt;cr&gt;&lt;t&gt;TEXT:='ERR_ACCESS';&lt;cr&gt;END_IF;</v>
      </c>
    </row>
    <row r="36" spans="1:3" x14ac:dyDescent="0.25">
      <c r="A36">
        <v>34</v>
      </c>
      <c r="B36" t="s">
        <v>437</v>
      </c>
      <c r="C36" t="str">
        <f t="shared" si="0"/>
        <v>IF CODE = 34 THEN&lt;cr&gt;&lt;t&gt;TEXT:='ERR_UNDEFINED';&lt;cr&gt;END_IF;</v>
      </c>
    </row>
    <row r="37" spans="1:3" x14ac:dyDescent="0.25">
      <c r="A37">
        <v>35</v>
      </c>
      <c r="B37" t="s">
        <v>438</v>
      </c>
      <c r="C37" t="str">
        <f t="shared" si="0"/>
        <v>IF CODE = 35 THEN&lt;cr&gt;&lt;t&gt;TEXT:='ERR_FUNC_KEY_MISSED';&lt;cr&gt;END_IF;</v>
      </c>
    </row>
    <row r="38" spans="1:3" x14ac:dyDescent="0.25">
      <c r="A38">
        <v>36</v>
      </c>
      <c r="B38" t="s">
        <v>439</v>
      </c>
      <c r="C38" t="str">
        <f t="shared" si="0"/>
        <v>IF CODE = 36 THEN&lt;cr&gt;&lt;t&gt;TEXT:='ERR_BUFFER_OVERFLOW';&lt;cr&gt;END_IF;</v>
      </c>
    </row>
    <row r="39" spans="1:3" x14ac:dyDescent="0.25">
      <c r="A39">
        <v>37</v>
      </c>
      <c r="B39" t="s">
        <v>440</v>
      </c>
      <c r="C39" t="str">
        <f t="shared" si="0"/>
        <v>IF CODE = 37 THEN&lt;cr&gt;&lt;t&gt;TEXT:='ERR_BAUDRATE_ALREADY_SET';&lt;cr&gt;END_IF;</v>
      </c>
    </row>
    <row r="40" spans="1:3" x14ac:dyDescent="0.25">
      <c r="A40">
        <v>38</v>
      </c>
      <c r="B40" t="s">
        <v>441</v>
      </c>
      <c r="C40" t="str">
        <f t="shared" si="0"/>
        <v>IF CODE = 38 THEN&lt;cr&gt;&lt;t&gt;TEXT:='ERR_INACTIVE_INTERFACE';&lt;cr&gt;END_IF;</v>
      </c>
    </row>
    <row r="41" spans="1:3" x14ac:dyDescent="0.25">
      <c r="A41">
        <v>39</v>
      </c>
      <c r="B41" t="s">
        <v>442</v>
      </c>
      <c r="C41" t="str">
        <f t="shared" si="0"/>
        <v>IF CODE = 39 THEN&lt;cr&gt;&lt;t&gt;TEXT:='ERR_TIMEOUT';&lt;cr&gt;END_IF;</v>
      </c>
    </row>
    <row r="42" spans="1:3" x14ac:dyDescent="0.25">
      <c r="A42">
        <v>40</v>
      </c>
      <c r="B42" t="s">
        <v>443</v>
      </c>
      <c r="C42" t="str">
        <f t="shared" si="0"/>
        <v>IF CODE = 40 THEN&lt;cr&gt;&lt;t&gt;TEXT:='ERR_OUT_OF_MEMORY';&lt;cr&gt;END_IF;</v>
      </c>
    </row>
    <row r="43" spans="1:3" x14ac:dyDescent="0.25">
      <c r="A43">
        <v>41</v>
      </c>
      <c r="B43" t="s">
        <v>444</v>
      </c>
      <c r="C43" t="str">
        <f t="shared" si="0"/>
        <v>IF CODE = 41 THEN&lt;cr&gt;&lt;t&gt;TEXT:='ERR_BUS_OFF';&lt;cr&gt;END_IF;</v>
      </c>
    </row>
    <row r="44" spans="1:3" x14ac:dyDescent="0.25">
      <c r="A44">
        <v>42</v>
      </c>
      <c r="B44" t="s">
        <v>445</v>
      </c>
      <c r="C44" t="str">
        <f t="shared" si="0"/>
        <v>IF CODE = 42 THEN&lt;cr&gt;&lt;t&gt;TEXT:='ERR_BAD_CRC';&lt;cr&gt;END_IF;</v>
      </c>
    </row>
    <row r="45" spans="1:3" x14ac:dyDescent="0.25">
      <c r="A45">
        <v>43</v>
      </c>
      <c r="B45" t="s">
        <v>446</v>
      </c>
      <c r="C45" t="str">
        <f t="shared" si="0"/>
        <v>IF CODE = 43 THEN&lt;cr&gt;&lt;t&gt;TEXT:='ERR_EXCEEDED_RANGE';&lt;cr&gt;END_IF;</v>
      </c>
    </row>
    <row r="46" spans="1:3" x14ac:dyDescent="0.25">
      <c r="A46">
        <v>44</v>
      </c>
      <c r="B46" t="s">
        <v>447</v>
      </c>
      <c r="C46" t="str">
        <f t="shared" si="0"/>
        <v>IF CODE = 44 THEN&lt;cr&gt;&lt;t&gt;TEXT:='ERR_INTERNAL_COMMUNICATION';&lt;cr&gt;END_IF;</v>
      </c>
    </row>
    <row r="47" spans="1:3" x14ac:dyDescent="0.25">
      <c r="A47">
        <v>45</v>
      </c>
      <c r="B47" t="s">
        <v>448</v>
      </c>
      <c r="C47" t="str">
        <f t="shared" si="0"/>
        <v>IF CODE = 45 THEN&lt;cr&gt;&lt;t&gt;TEXT:='ERR_NOT_SUPPORTED';&lt;cr&gt;END_IF;</v>
      </c>
    </row>
    <row r="48" spans="1:3" x14ac:dyDescent="0.25">
      <c r="A48">
        <v>46</v>
      </c>
      <c r="B48" t="s">
        <v>449</v>
      </c>
      <c r="C48" t="str">
        <f t="shared" si="0"/>
        <v>IF CODE = 46 THEN&lt;cr&gt;&lt;t&gt;TEXT:='ERR_TIMING';&lt;cr&gt;END_IF;</v>
      </c>
    </row>
    <row r="49" spans="1:3" x14ac:dyDescent="0.25">
      <c r="A49">
        <v>47</v>
      </c>
      <c r="B49" t="s">
        <v>450</v>
      </c>
      <c r="C49" t="str">
        <f t="shared" si="0"/>
        <v>IF CODE = 47 THEN&lt;cr&gt;&lt;t&gt;TEXT:='ERR_INTERNAL';&lt;cr&gt;END_IF;</v>
      </c>
    </row>
    <row r="50" spans="1:3" x14ac:dyDescent="0.25">
      <c r="A50">
        <v>48</v>
      </c>
      <c r="B50" t="s">
        <v>451</v>
      </c>
      <c r="C50" t="str">
        <f t="shared" si="0"/>
        <v>IF CODE = 48 THEN&lt;cr&gt;&lt;t&gt;TEXT:='ERR_FILE_SYSTEM';&lt;cr&gt;END_IF;</v>
      </c>
    </row>
    <row r="51" spans="1:3" x14ac:dyDescent="0.25">
      <c r="A51">
        <v>49</v>
      </c>
      <c r="B51" t="s">
        <v>452</v>
      </c>
      <c r="C51" t="str">
        <f t="shared" si="0"/>
        <v>IF CODE = 49 THEN&lt;cr&gt;&lt;t&gt;TEXT:='ERR_INVALID_IP_CFG';&lt;cr&gt;END_IF;</v>
      </c>
    </row>
    <row r="52" spans="1:3" x14ac:dyDescent="0.25">
      <c r="A52">
        <v>50</v>
      </c>
      <c r="B52" t="s">
        <v>453</v>
      </c>
      <c r="C52" t="str">
        <f t="shared" si="0"/>
        <v>IF CODE = 50 THEN&lt;cr&gt;&lt;t&gt;TEXT:='ERR_FAILED_ERR_RESET';&lt;cr&gt;END_IF;</v>
      </c>
    </row>
    <row r="53" spans="1:3" x14ac:dyDescent="0.25">
      <c r="A53">
        <v>51</v>
      </c>
      <c r="B53" t="s">
        <v>454</v>
      </c>
      <c r="C53" t="str">
        <f t="shared" si="0"/>
        <v>IF CODE = 51 THEN&lt;cr&gt;&lt;t&gt;TEXT:='ERR_DEVICE_NOT_AVAILABLE';&lt;cr&gt;END_IF;</v>
      </c>
    </row>
    <row r="54" spans="1:3" x14ac:dyDescent="0.25">
      <c r="A54">
        <v>52</v>
      </c>
      <c r="B54" t="s">
        <v>455</v>
      </c>
      <c r="C54" t="str">
        <f t="shared" si="0"/>
        <v>IF CODE = 52 THEN&lt;cr&gt;&lt;t&gt;TEXT:='ERR_NO_OBJECT';&lt;cr&gt;END_IF;</v>
      </c>
    </row>
    <row r="55" spans="1:3" x14ac:dyDescent="0.25">
      <c r="A55">
        <v>53</v>
      </c>
      <c r="B55" t="s">
        <v>456</v>
      </c>
      <c r="C55" t="str">
        <f t="shared" si="0"/>
        <v>IF CODE = 53 THEN&lt;cr&gt;&lt;t&gt;TEXT:='ERR_UNREACHABLE_VOLTAGE';&lt;cr&gt;END_IF;</v>
      </c>
    </row>
    <row r="56" spans="1:3" x14ac:dyDescent="0.25">
      <c r="A56">
        <v>54</v>
      </c>
      <c r="B56" t="s">
        <v>457</v>
      </c>
      <c r="C56" t="str">
        <f t="shared" si="0"/>
        <v>IF CODE = 54 THEN&lt;cr&gt;&lt;t&gt;TEXT:='ERR_AT_GROUP_OUTPUT';&lt;cr&gt;END_IF;</v>
      </c>
    </row>
    <row r="57" spans="1:3" x14ac:dyDescent="0.25">
      <c r="A57">
        <v>55</v>
      </c>
      <c r="B57" t="s">
        <v>458</v>
      </c>
      <c r="C57" t="str">
        <f t="shared" si="0"/>
        <v>IF CODE = 55 THEN&lt;cr&gt;&lt;t&gt;TEXT:='ERR_CONTROL_DITHER';&lt;cr&gt;END_IF;</v>
      </c>
    </row>
    <row r="58" spans="1:3" x14ac:dyDescent="0.25">
      <c r="A58">
        <v>56</v>
      </c>
      <c r="B58" t="s">
        <v>459</v>
      </c>
      <c r="C58" t="str">
        <f t="shared" si="0"/>
        <v>IF CODE = 56 THEN&lt;cr&gt;&lt;t&gt;TEXT:='ERR_UNDERVOLTAGE_VBBX_WARNING';&lt;cr&gt;END_IF;</v>
      </c>
    </row>
    <row r="59" spans="1:3" x14ac:dyDescent="0.25">
      <c r="A59">
        <v>57</v>
      </c>
      <c r="B59" t="s">
        <v>460</v>
      </c>
      <c r="C59" t="str">
        <f t="shared" si="0"/>
        <v>IF CODE = 57 THEN&lt;cr&gt;&lt;t&gt;TEXT:='ERR_OVERVOLTAGE_VBBX_WARNING';&lt;cr&gt;END_IF;</v>
      </c>
    </row>
    <row r="60" spans="1:3" x14ac:dyDescent="0.25">
      <c r="A60">
        <v>58</v>
      </c>
      <c r="B60" t="s">
        <v>461</v>
      </c>
      <c r="C60" t="str">
        <f t="shared" si="0"/>
        <v>IF CODE = 58 THEN&lt;cr&gt;&lt;t&gt;TEXT:='ERR_LOW_TEMPERATURE_WARNING';&lt;cr&gt;END_IF;</v>
      </c>
    </row>
    <row r="61" spans="1:3" x14ac:dyDescent="0.25">
      <c r="A61">
        <v>59</v>
      </c>
      <c r="B61" t="s">
        <v>462</v>
      </c>
      <c r="C61" t="str">
        <f t="shared" si="0"/>
        <v>IF CODE = 59 THEN&lt;cr&gt;&lt;t&gt;TEXT:='ERR_HIGH_TEMPERATURE_WARNING';&lt;cr&gt;END_IF;</v>
      </c>
    </row>
    <row r="62" spans="1:3" x14ac:dyDescent="0.25">
      <c r="A62">
        <v>60</v>
      </c>
      <c r="B62" t="s">
        <v>463</v>
      </c>
      <c r="C62" t="str">
        <f t="shared" si="0"/>
        <v>IF CODE = 60 THEN&lt;cr&gt;&lt;t&gt;TEXT:='ERR_RANGE_OVERRUN';&lt;cr&gt;END_IF;</v>
      </c>
    </row>
    <row r="63" spans="1:3" x14ac:dyDescent="0.25">
      <c r="A63">
        <v>61</v>
      </c>
      <c r="B63" t="s">
        <v>464</v>
      </c>
      <c r="C63" t="str">
        <f t="shared" si="0"/>
        <v>IF CODE = 61 THEN&lt;cr&gt;&lt;t&gt;TEXT:='ERR_RANGE_UNDERRUN';&lt;cr&gt;END_IF;</v>
      </c>
    </row>
    <row r="64" spans="1:3" x14ac:dyDescent="0.25">
      <c r="A64">
        <v>62</v>
      </c>
      <c r="B64" t="s">
        <v>465</v>
      </c>
      <c r="C64" t="str">
        <f t="shared" si="0"/>
        <v>IF CODE = 62 THEN&lt;cr&gt;&lt;t&gt;TEXT:='DIAG_INVALID_VALUE';&lt;cr&gt;END_IF;</v>
      </c>
    </row>
    <row r="65" spans="1:3" x14ac:dyDescent="0.25">
      <c r="A65">
        <v>63</v>
      </c>
      <c r="B65" t="s">
        <v>466</v>
      </c>
      <c r="C65" t="str">
        <f t="shared" si="0"/>
        <v>IF CODE = 63 THEN&lt;cr&gt;&lt;t&gt;TEXT:='DIAG_INTERNAL';&lt;cr&gt;END_IF;</v>
      </c>
    </row>
    <row r="66" spans="1:3" x14ac:dyDescent="0.25">
      <c r="A66">
        <v>64</v>
      </c>
      <c r="B66" t="s">
        <v>467</v>
      </c>
      <c r="C66" t="str">
        <f t="shared" si="0"/>
        <v>IF CODE = 64 THEN&lt;cr&gt;&lt;t&gt;TEXT:='DIAG_OPEN_CIRCUIT';&lt;cr&gt;END_IF;</v>
      </c>
    </row>
    <row r="67" spans="1:3" x14ac:dyDescent="0.25">
      <c r="A67">
        <v>65</v>
      </c>
      <c r="B67" t="s">
        <v>468</v>
      </c>
      <c r="C67" t="str">
        <f t="shared" ref="C67:C130" si="1">_xlfn.CONCAT("IF CODE = ",A67," THEN&lt;cr&gt;&lt;t&gt;TEXT:='",B67,"';&lt;cr&gt;END_IF;")</f>
        <v>IF CODE = 65 THEN&lt;cr&gt;&lt;t&gt;TEXT:='DIAG_SHORT_CIRCUIT';&lt;cr&gt;END_IF;</v>
      </c>
    </row>
    <row r="68" spans="1:3" x14ac:dyDescent="0.25">
      <c r="A68">
        <v>66</v>
      </c>
      <c r="B68" t="s">
        <v>469</v>
      </c>
      <c r="C68" t="str">
        <f t="shared" si="1"/>
        <v>IF CODE = 66 THEN&lt;cr&gt;&lt;t&gt;TEXT:='DIAG_UNDERVOLTAGE_VBBX';&lt;cr&gt;END_IF;</v>
      </c>
    </row>
    <row r="69" spans="1:3" x14ac:dyDescent="0.25">
      <c r="A69">
        <v>67</v>
      </c>
      <c r="B69" t="s">
        <v>470</v>
      </c>
      <c r="C69" t="str">
        <f t="shared" si="1"/>
        <v>IF CODE = 67 THEN&lt;cr&gt;&lt;t&gt;TEXT:='DIAG_OVERVOLTAGE_VBBX';&lt;cr&gt;END_IF;</v>
      </c>
    </row>
    <row r="70" spans="1:3" x14ac:dyDescent="0.25">
      <c r="A70">
        <v>68</v>
      </c>
      <c r="B70" t="s">
        <v>471</v>
      </c>
      <c r="C70" t="str">
        <f t="shared" si="1"/>
        <v>IF CODE = 68 THEN&lt;cr&gt;&lt;t&gt;TEXT:='DIAG_OVERLOAD_CURRENT';&lt;cr&gt;END_IF;</v>
      </c>
    </row>
    <row r="71" spans="1:3" x14ac:dyDescent="0.25">
      <c r="A71">
        <v>69</v>
      </c>
      <c r="B71" t="s">
        <v>472</v>
      </c>
      <c r="C71" t="str">
        <f t="shared" si="1"/>
        <v>IF CODE = 69 THEN&lt;cr&gt;&lt;t&gt;TEXT:='DIAG_STUCK_AT';&lt;cr&gt;END_IF;</v>
      </c>
    </row>
    <row r="72" spans="1:3" x14ac:dyDescent="0.25">
      <c r="A72">
        <v>70</v>
      </c>
      <c r="B72" t="s">
        <v>473</v>
      </c>
      <c r="C72" t="str">
        <f t="shared" si="1"/>
        <v>IF CODE = 70 THEN&lt;cr&gt;&lt;t&gt;TEXT:='DIAG_STUCK_AT_HIGH';&lt;cr&gt;END_IF;</v>
      </c>
    </row>
    <row r="73" spans="1:3" x14ac:dyDescent="0.25">
      <c r="A73">
        <v>71</v>
      </c>
      <c r="B73" t="s">
        <v>474</v>
      </c>
      <c r="C73" t="str">
        <f t="shared" si="1"/>
        <v>IF CODE = 71 THEN&lt;cr&gt;&lt;t&gt;TEXT:='DIAG_STUCK_AT_LOW';&lt;cr&gt;END_IF;</v>
      </c>
    </row>
    <row r="74" spans="1:3" x14ac:dyDescent="0.25">
      <c r="A74">
        <v>72</v>
      </c>
      <c r="B74" t="s">
        <v>475</v>
      </c>
      <c r="C74" t="str">
        <f t="shared" si="1"/>
        <v>IF CODE = 72 THEN&lt;cr&gt;&lt;t&gt;TEXT:='DIAG_INVALID_COLOUR';&lt;cr&gt;END_IF;</v>
      </c>
    </row>
    <row r="75" spans="1:3" x14ac:dyDescent="0.25">
      <c r="A75">
        <v>73</v>
      </c>
      <c r="B75" t="s">
        <v>476</v>
      </c>
      <c r="C75" t="str">
        <f t="shared" si="1"/>
        <v>IF CODE = 73 THEN&lt;cr&gt;&lt;t&gt;TEXT:='DIAG_OVERVOLTAGE';&lt;cr&gt;END_IF;</v>
      </c>
    </row>
    <row r="76" spans="1:3" x14ac:dyDescent="0.25">
      <c r="A76">
        <v>74</v>
      </c>
      <c r="B76" t="s">
        <v>477</v>
      </c>
      <c r="C76" t="str">
        <f t="shared" si="1"/>
        <v>IF CODE = 74 THEN&lt;cr&gt;&lt;t&gt;TEXT:='DIAG_UNDERVOLTAGE';&lt;cr&gt;END_IF;</v>
      </c>
    </row>
    <row r="77" spans="1:3" x14ac:dyDescent="0.25">
      <c r="A77">
        <v>75</v>
      </c>
      <c r="B77" t="s">
        <v>478</v>
      </c>
      <c r="C77" t="str">
        <f t="shared" si="1"/>
        <v>IF CODE = 75 THEN&lt;cr&gt;&lt;t&gt;TEXT:='DIAG_NO_CALIB';&lt;cr&gt;END_IF;</v>
      </c>
    </row>
    <row r="78" spans="1:3" x14ac:dyDescent="0.25">
      <c r="A78">
        <v>76</v>
      </c>
      <c r="B78" t="s">
        <v>479</v>
      </c>
      <c r="C78" t="str">
        <f t="shared" si="1"/>
        <v>IF CODE = 76 THEN&lt;cr&gt;&lt;t&gt;TEXT:='DIAG_ACCESS';&lt;cr&gt;END_IF;</v>
      </c>
    </row>
    <row r="79" spans="1:3" x14ac:dyDescent="0.25">
      <c r="A79">
        <v>77</v>
      </c>
      <c r="B79" t="s">
        <v>480</v>
      </c>
      <c r="C79" t="str">
        <f t="shared" si="1"/>
        <v>IF CODE = 77 THEN&lt;cr&gt;&lt;t&gt;TEXT:='DIAG_CHANGEOVER_TIME';&lt;cr&gt;END_IF;</v>
      </c>
    </row>
    <row r="80" spans="1:3" x14ac:dyDescent="0.25">
      <c r="A80">
        <v>78</v>
      </c>
      <c r="B80" t="s">
        <v>481</v>
      </c>
      <c r="C80" t="str">
        <f t="shared" si="1"/>
        <v>IF CODE = 78 THEN&lt;cr&gt;&lt;t&gt;TEXT:='ERR_OVERVOLTAGE';&lt;cr&gt;END_IF;</v>
      </c>
    </row>
    <row r="81" spans="1:3" x14ac:dyDescent="0.25">
      <c r="A81">
        <v>79</v>
      </c>
      <c r="B81" t="s">
        <v>482</v>
      </c>
      <c r="C81" t="str">
        <f t="shared" si="1"/>
        <v>IF CODE = 79 THEN&lt;cr&gt;&lt;t&gt;TEXT:='ERR_UNDERVOLTAGE';&lt;cr&gt;END_IF;</v>
      </c>
    </row>
    <row r="82" spans="1:3" x14ac:dyDescent="0.25">
      <c r="A82">
        <v>80</v>
      </c>
      <c r="B82" t="s">
        <v>483</v>
      </c>
      <c r="C82" t="str">
        <f t="shared" si="1"/>
        <v>IF CODE = 80 THEN&lt;cr&gt;&lt;t&gt;TEXT:='ERR_STUCK_AT';&lt;cr&gt;END_IF;</v>
      </c>
    </row>
    <row r="83" spans="1:3" x14ac:dyDescent="0.25">
      <c r="A83">
        <v>81</v>
      </c>
      <c r="B83" t="s">
        <v>484</v>
      </c>
      <c r="C83" t="str">
        <f t="shared" si="1"/>
        <v>IF CODE = 81 THEN&lt;cr&gt;&lt;t&gt;TEXT:='DIAG_CONTROL_DITHER';&lt;cr&gt;END_IF;</v>
      </c>
    </row>
    <row r="84" spans="1:3" x14ac:dyDescent="0.25">
      <c r="A84">
        <v>82</v>
      </c>
      <c r="B84" t="s">
        <v>485</v>
      </c>
      <c r="C84" t="str">
        <f t="shared" si="1"/>
        <v>IF CODE = 82 THEN&lt;cr&gt;&lt;t&gt;TEXT:='DIAG_SLOW_SIGNAL';&lt;cr&gt;END_IF;</v>
      </c>
    </row>
    <row r="85" spans="1:3" x14ac:dyDescent="0.25">
      <c r="A85">
        <v>83</v>
      </c>
      <c r="B85" t="s">
        <v>486</v>
      </c>
      <c r="C85" t="str">
        <f t="shared" si="1"/>
        <v>IF CODE = 83 THEN&lt;cr&gt;&lt;t&gt;TEXT:='DIAG_DIAG_PRO_MODE';&lt;cr&gt;END_IF;</v>
      </c>
    </row>
    <row r="86" spans="1:3" x14ac:dyDescent="0.25">
      <c r="A86">
        <v>84</v>
      </c>
      <c r="B86" t="s">
        <v>487</v>
      </c>
      <c r="C86" t="str">
        <f t="shared" si="1"/>
        <v>IF CODE = 84 THEN&lt;cr&gt;&lt;t&gt;TEXT:='DIAG_WINDOW';&lt;cr&gt;END_IF;</v>
      </c>
    </row>
    <row r="87" spans="1:3" x14ac:dyDescent="0.25">
      <c r="A87">
        <v>85</v>
      </c>
      <c r="B87" t="s">
        <v>488</v>
      </c>
      <c r="C87" t="str">
        <f t="shared" si="1"/>
        <v>IF CODE = 85 THEN&lt;cr&gt;&lt;t&gt;TEXT:='ERR_SDO_IDX_NOT_EXIST';&lt;cr&gt;END_IF;</v>
      </c>
    </row>
    <row r="88" spans="1:3" x14ac:dyDescent="0.25">
      <c r="A88">
        <v>86</v>
      </c>
      <c r="B88" t="s">
        <v>489</v>
      </c>
      <c r="C88" t="str">
        <f t="shared" si="1"/>
        <v>IF CODE = 86 THEN&lt;cr&gt;&lt;t&gt;TEXT:='ERR_SDO_SUBIDX_NOT_EXIST';&lt;cr&gt;END_IF;</v>
      </c>
    </row>
    <row r="89" spans="1:3" x14ac:dyDescent="0.25">
      <c r="A89">
        <v>87</v>
      </c>
      <c r="B89" t="s">
        <v>490</v>
      </c>
      <c r="C89" t="str">
        <f t="shared" si="1"/>
        <v>IF CODE = 87 THEN&lt;cr&gt;&lt;t&gt;TEXT:='ERR_SDO_UNSUPPORTED_ACCESS';&lt;cr&gt;END_IF;</v>
      </c>
    </row>
    <row r="90" spans="1:3" x14ac:dyDescent="0.25">
      <c r="A90">
        <v>88</v>
      </c>
      <c r="B90" t="s">
        <v>491</v>
      </c>
      <c r="C90" t="str">
        <f t="shared" si="1"/>
        <v>IF CODE = 88 THEN&lt;cr&gt;&lt;t&gt;TEXT:='ERR_SDO_DATA_TYPE';&lt;cr&gt;END_IF;</v>
      </c>
    </row>
    <row r="91" spans="1:3" x14ac:dyDescent="0.25">
      <c r="A91">
        <v>89</v>
      </c>
      <c r="B91" t="s">
        <v>492</v>
      </c>
      <c r="C91" t="str">
        <f t="shared" si="1"/>
        <v>IF CODE = 89 THEN&lt;cr&gt;&lt;t&gt;TEXT:='DIAG_LOW_TEMPERATURE';&lt;cr&gt;END_IF;</v>
      </c>
    </row>
    <row r="92" spans="1:3" x14ac:dyDescent="0.25">
      <c r="A92">
        <v>90</v>
      </c>
      <c r="B92" t="s">
        <v>493</v>
      </c>
      <c r="C92" t="str">
        <f t="shared" si="1"/>
        <v>IF CODE = 90 THEN&lt;cr&gt;&lt;t&gt;TEXT:='DIAG_HIGH_TEMPERATURE';&lt;cr&gt;END_IF;</v>
      </c>
    </row>
    <row r="93" spans="1:3" x14ac:dyDescent="0.25">
      <c r="A93">
        <v>91</v>
      </c>
      <c r="B93" t="s">
        <v>494</v>
      </c>
      <c r="C93" t="str">
        <f t="shared" si="1"/>
        <v>IF CODE = 91 THEN&lt;cr&gt;&lt;t&gt;TEXT:='DIAG_INVALID_DITHER';&lt;cr&gt;END_IF;</v>
      </c>
    </row>
    <row r="94" spans="1:3" x14ac:dyDescent="0.25">
      <c r="A94">
        <v>92</v>
      </c>
      <c r="B94" t="s">
        <v>495</v>
      </c>
      <c r="C94" t="str">
        <f t="shared" si="1"/>
        <v>IF CODE = 92 THEN&lt;cr&gt;&lt;t&gt;TEXT:='DIAG_INVALID_FREQUENCY';&lt;cr&gt;END_IF;</v>
      </c>
    </row>
    <row r="95" spans="1:3" x14ac:dyDescent="0.25">
      <c r="A95">
        <v>93</v>
      </c>
      <c r="B95" t="s">
        <v>496</v>
      </c>
      <c r="C95" t="str">
        <f t="shared" si="1"/>
        <v>IF CODE = 93 THEN&lt;cr&gt;&lt;t&gt;TEXT:='DIAG_RANGE_OVERRUN';&lt;cr&gt;END_IF;</v>
      </c>
    </row>
    <row r="96" spans="1:3" x14ac:dyDescent="0.25">
      <c r="A96">
        <v>94</v>
      </c>
      <c r="B96" t="s">
        <v>497</v>
      </c>
      <c r="C96" t="str">
        <f t="shared" si="1"/>
        <v>IF CODE = 94 THEN&lt;cr&gt;&lt;t&gt;TEXT:='DIAG_RANGE_UNDERRUN';&lt;cr&gt;END_IF;</v>
      </c>
    </row>
    <row r="97" spans="1:3" x14ac:dyDescent="0.25">
      <c r="A97">
        <v>95</v>
      </c>
      <c r="B97" t="s">
        <v>498</v>
      </c>
      <c r="C97" t="str">
        <f t="shared" si="1"/>
        <v>IF CODE = 95 THEN&lt;cr&gt;&lt;t&gt;TEXT:='DIAG_INVALID_FILTER';&lt;cr&gt;END_IF;</v>
      </c>
    </row>
    <row r="98" spans="1:3" x14ac:dyDescent="0.25">
      <c r="A98">
        <v>96</v>
      </c>
      <c r="B98" t="s">
        <v>499</v>
      </c>
      <c r="C98" t="str">
        <f t="shared" si="1"/>
        <v>IF CODE = 96 THEN&lt;cr&gt;&lt;t&gt;TEXT:='ERR_COMPARE_MISMATCH';&lt;cr&gt;END_IF;</v>
      </c>
    </row>
    <row r="99" spans="1:3" x14ac:dyDescent="0.25">
      <c r="A99">
        <v>97</v>
      </c>
      <c r="B99" t="s">
        <v>500</v>
      </c>
      <c r="C99" t="str">
        <f t="shared" si="1"/>
        <v>IF CODE = 97 THEN&lt;cr&gt;&lt;t&gt;TEXT:='DIAG_INVALID_IP_CFG';&lt;cr&gt;END_IF;</v>
      </c>
    </row>
    <row r="100" spans="1:3" x14ac:dyDescent="0.25">
      <c r="A100">
        <v>98</v>
      </c>
      <c r="B100" t="s">
        <v>501</v>
      </c>
      <c r="C100" t="str">
        <f t="shared" si="1"/>
        <v>IF CODE = 98 THEN&lt;cr&gt;&lt;t&gt;TEXT:='DIAG_LOW_CURRENT';&lt;cr&gt;END_IF;</v>
      </c>
    </row>
    <row r="101" spans="1:3" x14ac:dyDescent="0.25">
      <c r="A101">
        <v>99</v>
      </c>
      <c r="B101" t="s">
        <v>502</v>
      </c>
      <c r="C101" t="str">
        <f t="shared" si="1"/>
        <v>IF CODE = 99 THEN&lt;cr&gt;&lt;t&gt;TEXT:='DIAG_AT_GROUP_OUTPUT';&lt;cr&gt;END_IF;</v>
      </c>
    </row>
    <row r="102" spans="1:3" x14ac:dyDescent="0.25">
      <c r="A102">
        <v>100</v>
      </c>
      <c r="B102" t="s">
        <v>503</v>
      </c>
      <c r="C102" t="str">
        <f t="shared" si="1"/>
        <v>IF CODE = 100 THEN&lt;cr&gt;&lt;t&gt;TEXT:='ERR_SDO_UNKNOWN';&lt;cr&gt;END_IF;</v>
      </c>
    </row>
    <row r="103" spans="1:3" x14ac:dyDescent="0.25">
      <c r="A103">
        <v>101</v>
      </c>
      <c r="B103" t="s">
        <v>504</v>
      </c>
      <c r="C103" t="str">
        <f t="shared" si="1"/>
        <v>IF CODE = 101 THEN&lt;cr&gt;&lt;t&gt;TEXT:='ERR_BAUDRATE_INVALID_OR_ALREADY_SET';&lt;cr&gt;END_IF;</v>
      </c>
    </row>
    <row r="104" spans="1:3" x14ac:dyDescent="0.25">
      <c r="A104">
        <v>102</v>
      </c>
      <c r="B104" t="s">
        <v>505</v>
      </c>
      <c r="C104" t="str">
        <f t="shared" si="1"/>
        <v>IF CODE = 102 THEN&lt;cr&gt;&lt;t&gt;TEXT:='DIAG_COMPARE_MISMATCH';&lt;cr&gt;END_IF;</v>
      </c>
    </row>
    <row r="105" spans="1:3" x14ac:dyDescent="0.25">
      <c r="A105">
        <v>103</v>
      </c>
      <c r="B105" t="s">
        <v>506</v>
      </c>
      <c r="C105" t="str">
        <f t="shared" si="1"/>
        <v>IF CODE = 103 THEN&lt;cr&gt;&lt;t&gt;TEXT:='DIAG_COMPARE_MISMATCH_VSYS';&lt;cr&gt;END_IF;</v>
      </c>
    </row>
    <row r="106" spans="1:3" x14ac:dyDescent="0.25">
      <c r="A106">
        <v>104</v>
      </c>
      <c r="B106" t="s">
        <v>507</v>
      </c>
      <c r="C106" t="str">
        <f t="shared" si="1"/>
        <v>IF CODE = 104 THEN&lt;cr&gt;&lt;t&gt;TEXT:='DIAG_GROUP_OVERLOAD_CURRENT';&lt;cr&gt;END_IF;</v>
      </c>
    </row>
    <row r="107" spans="1:3" x14ac:dyDescent="0.25">
      <c r="A107">
        <v>105</v>
      </c>
      <c r="B107" t="s">
        <v>508</v>
      </c>
      <c r="C107" t="str">
        <f t="shared" si="1"/>
        <v>IF CODE = 105 THEN&lt;cr&gt;&lt;t&gt;TEXT:='ERR_GROUP_OVERLOAD_CURRENT';&lt;cr&gt;END_IF;</v>
      </c>
    </row>
    <row r="108" spans="1:3" x14ac:dyDescent="0.25">
      <c r="A108">
        <v>106</v>
      </c>
      <c r="B108" t="s">
        <v>509</v>
      </c>
      <c r="C108" t="str">
        <f t="shared" si="1"/>
        <v>IF CODE = 106 THEN&lt;cr&gt;&lt;t&gt;TEXT:='STAT_PAUSED';&lt;cr&gt;END_IF;</v>
      </c>
    </row>
    <row r="109" spans="1:3" x14ac:dyDescent="0.25">
      <c r="A109">
        <v>107</v>
      </c>
      <c r="B109" t="s">
        <v>510</v>
      </c>
      <c r="C109" t="str">
        <f t="shared" si="1"/>
        <v>IF CODE = 107 THEN&lt;cr&gt;&lt;t&gt;TEXT:='STAT_ABORT';&lt;cr&gt;END_IF;</v>
      </c>
    </row>
    <row r="110" spans="1:3" x14ac:dyDescent="0.25">
      <c r="A110">
        <v>108</v>
      </c>
      <c r="B110" t="s">
        <v>511</v>
      </c>
      <c r="C110" t="str">
        <f t="shared" si="1"/>
        <v>IF CODE = 108 THEN&lt;cr&gt;&lt;t&gt;TEXT:='STAT_EVNT_OPEN_PLUG_STORAGE';&lt;cr&gt;END_IF;</v>
      </c>
    </row>
    <row r="111" spans="1:3" x14ac:dyDescent="0.25">
      <c r="A111">
        <v>109</v>
      </c>
      <c r="B111" t="s">
        <v>512</v>
      </c>
      <c r="C111" t="str">
        <f t="shared" si="1"/>
        <v>IF CODE = 109 THEN&lt;cr&gt;&lt;t&gt;TEXT:='STAT_EVNT_OPEN_UNPLUG_STORAGE';&lt;cr&gt;END_IF;</v>
      </c>
    </row>
    <row r="112" spans="1:3" x14ac:dyDescent="0.25">
      <c r="A112">
        <v>110</v>
      </c>
      <c r="B112" t="s">
        <v>513</v>
      </c>
      <c r="C112" t="str">
        <f t="shared" si="1"/>
        <v>IF CODE = 110 THEN&lt;cr&gt;&lt;t&gt;TEXT:='STAT_EVNT_OPEN_DONE';&lt;cr&gt;END_IF;</v>
      </c>
    </row>
    <row r="113" spans="1:3" x14ac:dyDescent="0.25">
      <c r="A113">
        <v>111</v>
      </c>
      <c r="B113" t="s">
        <v>514</v>
      </c>
      <c r="C113" t="str">
        <f t="shared" si="1"/>
        <v>IF CODE = 111 THEN&lt;cr&gt;&lt;t&gt;TEXT:='STAT_EVNT_REGI_PLUG_STORAGE';&lt;cr&gt;END_IF;</v>
      </c>
    </row>
    <row r="114" spans="1:3" x14ac:dyDescent="0.25">
      <c r="A114">
        <v>112</v>
      </c>
      <c r="B114" t="s">
        <v>515</v>
      </c>
      <c r="C114" t="str">
        <f t="shared" si="1"/>
        <v>IF CODE = 112 THEN&lt;cr&gt;&lt;t&gt;TEXT:='STAT_EVNT_REGI_UNPLUG_STORAGE';&lt;cr&gt;END_IF;</v>
      </c>
    </row>
    <row r="115" spans="1:3" x14ac:dyDescent="0.25">
      <c r="A115">
        <v>113</v>
      </c>
      <c r="B115" t="s">
        <v>516</v>
      </c>
      <c r="C115" t="str">
        <f t="shared" si="1"/>
        <v>IF CODE = 113 THEN&lt;cr&gt;&lt;t&gt;TEXT:='STAT_EVNT_REGI_DONE';&lt;cr&gt;END_IF;</v>
      </c>
    </row>
    <row r="116" spans="1:3" x14ac:dyDescent="0.25">
      <c r="A116">
        <v>114</v>
      </c>
      <c r="B116" t="s">
        <v>517</v>
      </c>
      <c r="C116" t="str">
        <f t="shared" si="1"/>
        <v>IF CODE = 114 THEN&lt;cr&gt;&lt;t&gt;TEXT:='STAT_EVNT_UNREGI';&lt;cr&gt;END_IF;</v>
      </c>
    </row>
    <row r="117" spans="1:3" x14ac:dyDescent="0.25">
      <c r="A117">
        <v>115</v>
      </c>
      <c r="B117" t="s">
        <v>518</v>
      </c>
      <c r="C117" t="str">
        <f t="shared" si="1"/>
        <v>IF CODE = 115 THEN&lt;cr&gt;&lt;t&gt;TEXT:='STAT_EVNT_UNREGI_DONE';&lt;cr&gt;END_IF;</v>
      </c>
    </row>
    <row r="118" spans="1:3" x14ac:dyDescent="0.25">
      <c r="A118">
        <v>116</v>
      </c>
      <c r="B118" t="s">
        <v>519</v>
      </c>
      <c r="C118" t="str">
        <f t="shared" si="1"/>
        <v>IF CODE = 116 THEN&lt;cr&gt;&lt;t&gt;TEXT:='STAT_EVNT_CLOSE';&lt;cr&gt;END_IF;</v>
      </c>
    </row>
    <row r="119" spans="1:3" x14ac:dyDescent="0.25">
      <c r="A119">
        <v>117</v>
      </c>
      <c r="B119" t="s">
        <v>520</v>
      </c>
      <c r="C119" t="str">
        <f t="shared" si="1"/>
        <v>IF CODE = 117 THEN&lt;cr&gt;&lt;t&gt;TEXT:='STAT_EVNT_CLOSE_DONE';&lt;cr&gt;END_IF;</v>
      </c>
    </row>
    <row r="120" spans="1:3" x14ac:dyDescent="0.25">
      <c r="A120">
        <v>118</v>
      </c>
      <c r="B120" t="s">
        <v>521</v>
      </c>
      <c r="C120" t="str">
        <f t="shared" si="1"/>
        <v>IF CODE = 118 THEN&lt;cr&gt;&lt;t&gt;TEXT:='ERR_INSTANCE_RESTRICTION';&lt;cr&gt;END_IF;</v>
      </c>
    </row>
    <row r="121" spans="1:3" x14ac:dyDescent="0.25">
      <c r="A121">
        <v>119</v>
      </c>
      <c r="B121" t="s">
        <v>522</v>
      </c>
      <c r="C121" t="str">
        <f t="shared" si="1"/>
        <v>IF CODE = 119 THEN&lt;cr&gt;&lt;t&gt;TEXT:='ERR_NO_FILE';&lt;cr&gt;END_IF;</v>
      </c>
    </row>
    <row r="122" spans="1:3" x14ac:dyDescent="0.25">
      <c r="A122">
        <v>120</v>
      </c>
      <c r="B122" t="s">
        <v>523</v>
      </c>
      <c r="C122" t="str">
        <f t="shared" si="1"/>
        <v>IF CODE = 120 THEN&lt;cr&gt;&lt;t&gt;TEXT:='ERR_EVNT_OPEN';&lt;cr&gt;END_IF;</v>
      </c>
    </row>
    <row r="123" spans="1:3" x14ac:dyDescent="0.25">
      <c r="A123">
        <v>121</v>
      </c>
      <c r="B123" t="s">
        <v>524</v>
      </c>
      <c r="C123" t="str">
        <f t="shared" si="1"/>
        <v>IF CODE = 121 THEN&lt;cr&gt;&lt;t&gt;TEXT:='ERR_EVNT_REGI';&lt;cr&gt;END_IF;</v>
      </c>
    </row>
    <row r="124" spans="1:3" x14ac:dyDescent="0.25">
      <c r="A124">
        <v>122</v>
      </c>
      <c r="B124" t="s">
        <v>525</v>
      </c>
      <c r="C124" t="str">
        <f t="shared" si="1"/>
        <v>IF CODE = 122 THEN&lt;cr&gt;&lt;t&gt;TEXT:='ERR_EVNT_UNREGI';&lt;cr&gt;END_IF;</v>
      </c>
    </row>
    <row r="125" spans="1:3" x14ac:dyDescent="0.25">
      <c r="A125">
        <v>123</v>
      </c>
      <c r="B125" t="s">
        <v>526</v>
      </c>
      <c r="C125" t="str">
        <f t="shared" si="1"/>
        <v>IF CODE = 123 THEN&lt;cr&gt;&lt;t&gt;TEXT:='ERR_EVNT_CLOSE';&lt;cr&gt;END_IF;</v>
      </c>
    </row>
    <row r="126" spans="1:3" x14ac:dyDescent="0.25">
      <c r="A126">
        <v>124</v>
      </c>
      <c r="B126" t="s">
        <v>527</v>
      </c>
      <c r="C126" t="str">
        <f t="shared" si="1"/>
        <v>IF CODE = 124 THEN&lt;cr&gt;&lt;t&gt;TEXT:='ERR_GET_STORAGE_LIST';&lt;cr&gt;END_IF;</v>
      </c>
    </row>
    <row r="127" spans="1:3" x14ac:dyDescent="0.25">
      <c r="A127">
        <v>125</v>
      </c>
      <c r="B127" t="s">
        <v>528</v>
      </c>
      <c r="C127" t="str">
        <f t="shared" si="1"/>
        <v>IF CODE = 125 THEN&lt;cr&gt;&lt;t&gt;TEXT:='ERR_UNPLUG_STORAGE';&lt;cr&gt;END_IF;</v>
      </c>
    </row>
    <row r="128" spans="1:3" x14ac:dyDescent="0.25">
      <c r="A128">
        <v>126</v>
      </c>
      <c r="B128" t="s">
        <v>529</v>
      </c>
      <c r="C128" t="str">
        <f t="shared" si="1"/>
        <v>IF CODE = 126 THEN&lt;cr&gt;&lt;t&gt;TEXT:='DIAG_INVALID_CHANNEL';&lt;cr&gt;END_IF;</v>
      </c>
    </row>
    <row r="129" spans="1:3" x14ac:dyDescent="0.25">
      <c r="A129">
        <v>127</v>
      </c>
      <c r="B129" t="s">
        <v>530</v>
      </c>
      <c r="C129" t="str">
        <f t="shared" si="1"/>
        <v>IF CODE = 127 THEN&lt;cr&gt;&lt;t&gt;TEXT:='DIAG_INVALID_MODE';&lt;cr&gt;END_IF;</v>
      </c>
    </row>
    <row r="130" spans="1:3" x14ac:dyDescent="0.25">
      <c r="A130">
        <v>128</v>
      </c>
      <c r="B130" t="s">
        <v>531</v>
      </c>
      <c r="C130" t="str">
        <f t="shared" si="1"/>
        <v>IF CODE = 128 THEN&lt;cr&gt;&lt;t&gt;TEXT:='ERR_H_BRIDGE_TEST';&lt;cr&gt;END_IF;</v>
      </c>
    </row>
    <row r="131" spans="1:3" x14ac:dyDescent="0.25">
      <c r="A131">
        <v>129</v>
      </c>
      <c r="B131" t="s">
        <v>532</v>
      </c>
      <c r="C131" t="str">
        <f t="shared" ref="C131:C135" si="2">_xlfn.CONCAT("IF CODE = ",A131," THEN&lt;cr&gt;&lt;t&gt;TEXT:='",B131,"';&lt;cr&gt;END_IF;")</f>
        <v>IF CODE = 129 THEN&lt;cr&gt;&lt;t&gt;TEXT:='ERR_GROUP_SW_TEST';&lt;cr&gt;END_IF;</v>
      </c>
    </row>
    <row r="132" spans="1:3" x14ac:dyDescent="0.25">
      <c r="A132">
        <v>130</v>
      </c>
      <c r="B132" t="s">
        <v>533</v>
      </c>
      <c r="C132" t="str">
        <f t="shared" si="2"/>
        <v>IF CODE = 130 THEN&lt;cr&gt;&lt;t&gt;TEXT:='ERR_TX_ERROR';&lt;cr&gt;END_IF;</v>
      </c>
    </row>
    <row r="133" spans="1:3" x14ac:dyDescent="0.25">
      <c r="A133">
        <v>131</v>
      </c>
      <c r="B133" t="s">
        <v>534</v>
      </c>
      <c r="C133" t="str">
        <f t="shared" si="2"/>
        <v>IF CODE = 131 THEN&lt;cr&gt;&lt;t&gt;TEXT:='ERR_RX_ERROR';&lt;cr&gt;END_IF;</v>
      </c>
    </row>
    <row r="134" spans="1:3" x14ac:dyDescent="0.25">
      <c r="A134">
        <v>132</v>
      </c>
      <c r="B134" t="s">
        <v>535</v>
      </c>
      <c r="C134" t="str">
        <f t="shared" si="2"/>
        <v>IF CODE = 132 THEN&lt;cr&gt;&lt;t&gt;TEXT:='DIAG_PHASE_MISSING_B';&lt;cr&gt;END_IF;</v>
      </c>
    </row>
    <row r="135" spans="1:3" x14ac:dyDescent="0.25">
      <c r="A135">
        <v>133</v>
      </c>
      <c r="B135" t="s">
        <v>536</v>
      </c>
      <c r="C135" t="str">
        <f t="shared" si="2"/>
        <v>IF CODE = 133 THEN&lt;cr&gt;&lt;t&gt;TEXT:='DIAG_PHASE_TOO_MANY_B';&lt;cr&gt;END_IF;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2512B-3394-456F-A3A8-618A03016890}">
  <dimension ref="B2:D31"/>
  <sheetViews>
    <sheetView topLeftCell="A10" workbookViewId="0">
      <selection activeCell="C32" sqref="C32"/>
    </sheetView>
  </sheetViews>
  <sheetFormatPr defaultRowHeight="15" x14ac:dyDescent="0.25"/>
  <cols>
    <col min="2" max="2" width="54.140625" bestFit="1" customWidth="1"/>
  </cols>
  <sheetData>
    <row r="2" spans="2:4" x14ac:dyDescent="0.25">
      <c r="B2" t="s">
        <v>249</v>
      </c>
      <c r="C2">
        <v>0</v>
      </c>
    </row>
    <row r="3" spans="2:4" x14ac:dyDescent="0.25">
      <c r="B3" t="s">
        <v>249</v>
      </c>
      <c r="D3">
        <v>1500</v>
      </c>
    </row>
    <row r="5" spans="2:4" x14ac:dyDescent="0.25">
      <c r="B5" t="s">
        <v>249</v>
      </c>
      <c r="C5">
        <v>0</v>
      </c>
    </row>
    <row r="6" spans="2:4" x14ac:dyDescent="0.25">
      <c r="B6" t="s">
        <v>250</v>
      </c>
      <c r="D6">
        <v>1500</v>
      </c>
    </row>
    <row r="8" spans="2:4" x14ac:dyDescent="0.25">
      <c r="B8" t="s">
        <v>251</v>
      </c>
      <c r="C8">
        <v>0</v>
      </c>
    </row>
    <row r="9" spans="2:4" x14ac:dyDescent="0.25">
      <c r="B9" t="s">
        <v>252</v>
      </c>
      <c r="D9">
        <v>1500</v>
      </c>
    </row>
    <row r="11" spans="2:4" x14ac:dyDescent="0.25">
      <c r="B11" t="s">
        <v>254</v>
      </c>
      <c r="C11">
        <v>0</v>
      </c>
    </row>
    <row r="12" spans="2:4" x14ac:dyDescent="0.25">
      <c r="B12" t="s">
        <v>255</v>
      </c>
      <c r="D12">
        <v>1500</v>
      </c>
    </row>
    <row r="14" spans="2:4" x14ac:dyDescent="0.25">
      <c r="B14" t="s">
        <v>253</v>
      </c>
      <c r="C14">
        <v>0</v>
      </c>
    </row>
    <row r="15" spans="2:4" x14ac:dyDescent="0.25">
      <c r="B15" t="s">
        <v>256</v>
      </c>
      <c r="D15">
        <v>1500</v>
      </c>
    </row>
    <row r="17" spans="2:4" x14ac:dyDescent="0.25">
      <c r="B17" t="s">
        <v>257</v>
      </c>
      <c r="C17">
        <v>0</v>
      </c>
    </row>
    <row r="18" spans="2:4" x14ac:dyDescent="0.25">
      <c r="B18" t="s">
        <v>258</v>
      </c>
      <c r="D18">
        <v>1500</v>
      </c>
    </row>
    <row r="20" spans="2:4" x14ac:dyDescent="0.25">
      <c r="B20" t="s">
        <v>259</v>
      </c>
      <c r="C20">
        <v>0</v>
      </c>
      <c r="D20">
        <v>1</v>
      </c>
    </row>
    <row r="22" spans="2:4" x14ac:dyDescent="0.25">
      <c r="B22" t="s">
        <v>260</v>
      </c>
      <c r="C22">
        <v>0</v>
      </c>
    </row>
    <row r="23" spans="2:4" x14ac:dyDescent="0.25">
      <c r="B23" t="s">
        <v>262</v>
      </c>
    </row>
    <row r="24" spans="2:4" x14ac:dyDescent="0.25">
      <c r="B24" t="s">
        <v>261</v>
      </c>
      <c r="D24">
        <v>250</v>
      </c>
    </row>
    <row r="26" spans="2:4" x14ac:dyDescent="0.25">
      <c r="B26" t="s">
        <v>274</v>
      </c>
      <c r="C26">
        <v>0</v>
      </c>
      <c r="D26">
        <v>100</v>
      </c>
    </row>
    <row r="27" spans="2:4" x14ac:dyDescent="0.25">
      <c r="B27" t="s">
        <v>275</v>
      </c>
      <c r="C27">
        <v>0</v>
      </c>
      <c r="D27">
        <v>100</v>
      </c>
    </row>
    <row r="28" spans="2:4" x14ac:dyDescent="0.25">
      <c r="B28" t="s">
        <v>270</v>
      </c>
      <c r="C28">
        <v>0</v>
      </c>
      <c r="D28">
        <v>100</v>
      </c>
    </row>
    <row r="29" spans="2:4" x14ac:dyDescent="0.25">
      <c r="B29" t="s">
        <v>271</v>
      </c>
      <c r="C29">
        <v>0</v>
      </c>
      <c r="D29">
        <v>100</v>
      </c>
    </row>
    <row r="30" spans="2:4" x14ac:dyDescent="0.25">
      <c r="B30" t="s">
        <v>272</v>
      </c>
      <c r="C30">
        <v>0</v>
      </c>
      <c r="D30">
        <v>100</v>
      </c>
    </row>
    <row r="31" spans="2:4" x14ac:dyDescent="0.25">
      <c r="B31" t="s">
        <v>273</v>
      </c>
      <c r="C31">
        <v>0</v>
      </c>
      <c r="D31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D0C9-5DB1-4DD2-BFB3-B509B6A8D4D3}">
  <dimension ref="A1:Q196"/>
  <sheetViews>
    <sheetView topLeftCell="A62" workbookViewId="0">
      <selection activeCell="D2" sqref="D2:D98"/>
    </sheetView>
  </sheetViews>
  <sheetFormatPr defaultRowHeight="12" x14ac:dyDescent="0.2"/>
  <cols>
    <col min="1" max="1" width="9.140625" style="2"/>
    <col min="2" max="2" width="14.85546875" style="1" bestFit="1" customWidth="1"/>
    <col min="3" max="3" width="7" style="1" bestFit="1" customWidth="1"/>
    <col min="4" max="4" width="11.28515625" style="1" customWidth="1"/>
    <col min="5" max="5" width="9.140625" style="1"/>
    <col min="6" max="6" width="15.5703125" style="1" customWidth="1"/>
    <col min="7" max="7" width="28.140625" style="8" customWidth="1"/>
    <col min="8" max="8" width="4.42578125" style="2" bestFit="1" customWidth="1"/>
    <col min="9" max="9" width="28.140625" style="8" customWidth="1"/>
    <col min="10" max="16384" width="9.140625" style="2"/>
  </cols>
  <sheetData>
    <row r="1" spans="1:9" s="10" customFormat="1" x14ac:dyDescent="0.2">
      <c r="A1" s="10" t="s">
        <v>160</v>
      </c>
      <c r="B1" s="11"/>
      <c r="C1" s="11"/>
      <c r="D1" s="11" t="s">
        <v>161</v>
      </c>
      <c r="E1" s="11" t="s">
        <v>162</v>
      </c>
      <c r="F1" s="11" t="s">
        <v>5</v>
      </c>
      <c r="G1" s="12" t="s">
        <v>163</v>
      </c>
      <c r="I1" s="12" t="s">
        <v>164</v>
      </c>
    </row>
    <row r="2" spans="1:9" x14ac:dyDescent="0.2">
      <c r="A2" s="2">
        <v>1</v>
      </c>
      <c r="B2" s="1" t="str">
        <f t="shared" ref="B2:B33" si="0">_xlfn.CONCAT(C2,".",D2)</f>
        <v>CR0709.IN0100</v>
      </c>
      <c r="C2" s="1" t="s">
        <v>19</v>
      </c>
      <c r="D2" s="1" t="s">
        <v>20</v>
      </c>
      <c r="E2" s="1">
        <v>63</v>
      </c>
      <c r="F2" s="1" t="s">
        <v>165</v>
      </c>
      <c r="G2" s="6" t="s">
        <v>166</v>
      </c>
      <c r="H2" s="2" t="str">
        <f>_xlfn.CONCAT(LOWER(F2),E2)</f>
        <v>a63</v>
      </c>
      <c r="I2" s="6" t="s">
        <v>166</v>
      </c>
    </row>
    <row r="3" spans="1:9" x14ac:dyDescent="0.2">
      <c r="A3" s="2">
        <v>2</v>
      </c>
      <c r="B3" s="1" t="str">
        <f t="shared" si="0"/>
        <v>CR0709.IN0101</v>
      </c>
      <c r="C3" s="1" t="s">
        <v>19</v>
      </c>
      <c r="D3" s="1" t="s">
        <v>23</v>
      </c>
      <c r="E3" s="1">
        <v>64</v>
      </c>
      <c r="F3" s="1" t="s">
        <v>165</v>
      </c>
      <c r="G3" s="6" t="s">
        <v>166</v>
      </c>
      <c r="H3" s="2" t="str">
        <f t="shared" ref="H3:H66" si="1">_xlfn.CONCAT(LOWER(F3),E3)</f>
        <v>a64</v>
      </c>
      <c r="I3" s="6" t="s">
        <v>166</v>
      </c>
    </row>
    <row r="4" spans="1:9" x14ac:dyDescent="0.2">
      <c r="A4" s="2">
        <v>3</v>
      </c>
      <c r="B4" s="1" t="str">
        <f t="shared" si="0"/>
        <v>CR0709.IN0102</v>
      </c>
      <c r="C4" s="1" t="s">
        <v>19</v>
      </c>
      <c r="D4" s="1" t="s">
        <v>24</v>
      </c>
      <c r="E4" s="1">
        <v>65</v>
      </c>
      <c r="F4" s="1" t="s">
        <v>165</v>
      </c>
      <c r="G4" s="6" t="s">
        <v>166</v>
      </c>
      <c r="H4" s="2" t="str">
        <f t="shared" si="1"/>
        <v>a65</v>
      </c>
      <c r="I4" s="6" t="s">
        <v>166</v>
      </c>
    </row>
    <row r="5" spans="1:9" x14ac:dyDescent="0.2">
      <c r="A5" s="2">
        <v>4</v>
      </c>
      <c r="B5" s="1" t="str">
        <f t="shared" si="0"/>
        <v>CR0709.IN0103</v>
      </c>
      <c r="C5" s="1" t="s">
        <v>19</v>
      </c>
      <c r="D5" s="1" t="s">
        <v>25</v>
      </c>
      <c r="E5" s="1">
        <v>66</v>
      </c>
      <c r="F5" s="1" t="s">
        <v>165</v>
      </c>
      <c r="G5" s="6" t="s">
        <v>166</v>
      </c>
      <c r="H5" s="2" t="str">
        <f t="shared" si="1"/>
        <v>a66</v>
      </c>
      <c r="I5" s="6" t="s">
        <v>166</v>
      </c>
    </row>
    <row r="6" spans="1:9" x14ac:dyDescent="0.2">
      <c r="A6" s="2">
        <v>5</v>
      </c>
      <c r="B6" s="1" t="str">
        <f t="shared" si="0"/>
        <v>CR0709.IN0200</v>
      </c>
      <c r="C6" s="1" t="s">
        <v>19</v>
      </c>
      <c r="D6" s="1" t="s">
        <v>26</v>
      </c>
      <c r="E6" s="1">
        <v>67</v>
      </c>
      <c r="F6" s="1" t="s">
        <v>165</v>
      </c>
      <c r="G6" s="6" t="s">
        <v>166</v>
      </c>
      <c r="H6" s="2" t="str">
        <f t="shared" si="1"/>
        <v>a67</v>
      </c>
      <c r="I6" s="6" t="s">
        <v>166</v>
      </c>
    </row>
    <row r="7" spans="1:9" x14ac:dyDescent="0.2">
      <c r="A7" s="2">
        <v>6</v>
      </c>
      <c r="B7" s="1" t="str">
        <f t="shared" si="0"/>
        <v>CR0709.IN0201</v>
      </c>
      <c r="C7" s="1" t="s">
        <v>19</v>
      </c>
      <c r="D7" s="1" t="s">
        <v>27</v>
      </c>
      <c r="E7" s="1">
        <v>68</v>
      </c>
      <c r="F7" s="1" t="s">
        <v>165</v>
      </c>
      <c r="G7" s="6" t="s">
        <v>166</v>
      </c>
      <c r="H7" s="2" t="str">
        <f t="shared" si="1"/>
        <v>a68</v>
      </c>
      <c r="I7" s="6" t="s">
        <v>166</v>
      </c>
    </row>
    <row r="8" spans="1:9" x14ac:dyDescent="0.2">
      <c r="A8" s="2">
        <v>7</v>
      </c>
      <c r="B8" s="1" t="str">
        <f t="shared" si="0"/>
        <v>CR0709.IN0202</v>
      </c>
      <c r="C8" s="1" t="s">
        <v>19</v>
      </c>
      <c r="D8" s="1" t="s">
        <v>28</v>
      </c>
      <c r="E8" s="1">
        <v>69</v>
      </c>
      <c r="F8" s="1" t="s">
        <v>165</v>
      </c>
      <c r="G8" s="6" t="s">
        <v>166</v>
      </c>
      <c r="H8" s="2" t="str">
        <f t="shared" si="1"/>
        <v>a69</v>
      </c>
      <c r="I8" s="6" t="s">
        <v>166</v>
      </c>
    </row>
    <row r="9" spans="1:9" x14ac:dyDescent="0.2">
      <c r="A9" s="2">
        <v>8</v>
      </c>
      <c r="B9" s="1" t="str">
        <f t="shared" si="0"/>
        <v>CR0709.IN0203</v>
      </c>
      <c r="C9" s="1" t="s">
        <v>19</v>
      </c>
      <c r="D9" s="1" t="s">
        <v>29</v>
      </c>
      <c r="E9" s="1">
        <v>70</v>
      </c>
      <c r="F9" s="1" t="s">
        <v>165</v>
      </c>
      <c r="G9" s="6" t="s">
        <v>166</v>
      </c>
      <c r="H9" s="2" t="str">
        <f t="shared" si="1"/>
        <v>a70</v>
      </c>
      <c r="I9" s="6" t="s">
        <v>166</v>
      </c>
    </row>
    <row r="10" spans="1:9" x14ac:dyDescent="0.2">
      <c r="A10" s="2">
        <v>9</v>
      </c>
      <c r="B10" s="1" t="str">
        <f t="shared" si="0"/>
        <v>CR0709.IN0600</v>
      </c>
      <c r="C10" s="1" t="s">
        <v>19</v>
      </c>
      <c r="D10" s="1" t="s">
        <v>30</v>
      </c>
      <c r="E10" s="1">
        <v>55</v>
      </c>
      <c r="F10" s="1" t="s">
        <v>165</v>
      </c>
      <c r="G10" s="6" t="s">
        <v>166</v>
      </c>
      <c r="H10" s="2" t="str">
        <f t="shared" si="1"/>
        <v>a55</v>
      </c>
      <c r="I10" s="6" t="s">
        <v>166</v>
      </c>
    </row>
    <row r="11" spans="1:9" x14ac:dyDescent="0.2">
      <c r="A11" s="2">
        <v>10</v>
      </c>
      <c r="B11" s="1" t="str">
        <f t="shared" si="0"/>
        <v>CR0709.IN0601</v>
      </c>
      <c r="C11" s="1" t="s">
        <v>19</v>
      </c>
      <c r="D11" s="1" t="s">
        <v>31</v>
      </c>
      <c r="E11" s="1">
        <v>56</v>
      </c>
      <c r="F11" s="1" t="s">
        <v>165</v>
      </c>
      <c r="G11" s="7" t="s">
        <v>166</v>
      </c>
      <c r="H11" s="2" t="str">
        <f t="shared" si="1"/>
        <v>a56</v>
      </c>
      <c r="I11" s="7" t="s">
        <v>166</v>
      </c>
    </row>
    <row r="12" spans="1:9" x14ac:dyDescent="0.2">
      <c r="A12" s="2">
        <v>11</v>
      </c>
      <c r="B12" s="1" t="str">
        <f t="shared" si="0"/>
        <v>CR0709.IN0602</v>
      </c>
      <c r="C12" s="1" t="s">
        <v>19</v>
      </c>
      <c r="D12" s="1" t="s">
        <v>32</v>
      </c>
      <c r="E12" s="1">
        <v>57</v>
      </c>
      <c r="F12" s="1" t="s">
        <v>165</v>
      </c>
      <c r="G12" s="6" t="s">
        <v>166</v>
      </c>
      <c r="H12" s="2" t="str">
        <f t="shared" si="1"/>
        <v>a57</v>
      </c>
      <c r="I12" s="6" t="s">
        <v>166</v>
      </c>
    </row>
    <row r="13" spans="1:9" x14ac:dyDescent="0.2">
      <c r="A13" s="2">
        <v>12</v>
      </c>
      <c r="B13" s="1" t="str">
        <f t="shared" si="0"/>
        <v>CR0709.IN0603</v>
      </c>
      <c r="C13" s="1" t="s">
        <v>19</v>
      </c>
      <c r="D13" s="1" t="s">
        <v>33</v>
      </c>
      <c r="E13" s="1">
        <v>58</v>
      </c>
      <c r="F13" s="1" t="s">
        <v>165</v>
      </c>
      <c r="G13" s="6" t="s">
        <v>166</v>
      </c>
      <c r="H13" s="2" t="str">
        <f t="shared" si="1"/>
        <v>a58</v>
      </c>
      <c r="I13" s="6" t="s">
        <v>166</v>
      </c>
    </row>
    <row r="14" spans="1:9" x14ac:dyDescent="0.2">
      <c r="A14" s="2">
        <v>13</v>
      </c>
      <c r="B14" s="1" t="str">
        <f t="shared" si="0"/>
        <v>CR0709.IN0700</v>
      </c>
      <c r="C14" s="1" t="s">
        <v>19</v>
      </c>
      <c r="D14" s="1" t="s">
        <v>34</v>
      </c>
      <c r="E14" s="1">
        <v>59</v>
      </c>
      <c r="F14" s="1" t="s">
        <v>165</v>
      </c>
      <c r="G14" s="6" t="s">
        <v>166</v>
      </c>
      <c r="H14" s="2" t="str">
        <f t="shared" si="1"/>
        <v>a59</v>
      </c>
      <c r="I14" s="6" t="s">
        <v>166</v>
      </c>
    </row>
    <row r="15" spans="1:9" x14ac:dyDescent="0.2">
      <c r="A15" s="2">
        <v>14</v>
      </c>
      <c r="B15" s="1" t="str">
        <f t="shared" si="0"/>
        <v>CR0709.IN0701</v>
      </c>
      <c r="C15" s="1" t="s">
        <v>19</v>
      </c>
      <c r="D15" s="1" t="s">
        <v>35</v>
      </c>
      <c r="E15" s="1">
        <v>60</v>
      </c>
      <c r="F15" s="1" t="s">
        <v>165</v>
      </c>
      <c r="G15" s="6" t="s">
        <v>166</v>
      </c>
      <c r="H15" s="2" t="str">
        <f t="shared" si="1"/>
        <v>a60</v>
      </c>
      <c r="I15" s="6" t="s">
        <v>166</v>
      </c>
    </row>
    <row r="16" spans="1:9" x14ac:dyDescent="0.2">
      <c r="A16" s="2">
        <v>15</v>
      </c>
      <c r="B16" s="1" t="str">
        <f t="shared" si="0"/>
        <v>CR0709.IN0702</v>
      </c>
      <c r="C16" s="1" t="s">
        <v>19</v>
      </c>
      <c r="D16" s="1" t="s">
        <v>36</v>
      </c>
      <c r="E16" s="1">
        <v>61</v>
      </c>
      <c r="F16" s="1" t="s">
        <v>165</v>
      </c>
      <c r="G16" s="6" t="s">
        <v>166</v>
      </c>
      <c r="H16" s="2" t="str">
        <f t="shared" si="1"/>
        <v>a61</v>
      </c>
      <c r="I16" s="6" t="s">
        <v>166</v>
      </c>
    </row>
    <row r="17" spans="1:9" x14ac:dyDescent="0.2">
      <c r="A17" s="2">
        <v>16</v>
      </c>
      <c r="B17" s="1" t="str">
        <f t="shared" si="0"/>
        <v>CR0709.IN0703</v>
      </c>
      <c r="C17" s="1" t="s">
        <v>19</v>
      </c>
      <c r="D17" s="1" t="s">
        <v>37</v>
      </c>
      <c r="E17" s="1">
        <v>62</v>
      </c>
      <c r="F17" s="1" t="s">
        <v>165</v>
      </c>
      <c r="G17" s="6" t="s">
        <v>166</v>
      </c>
      <c r="H17" s="2" t="str">
        <f t="shared" si="1"/>
        <v>a62</v>
      </c>
      <c r="I17" s="6" t="s">
        <v>166</v>
      </c>
    </row>
    <row r="18" spans="1:9" x14ac:dyDescent="0.2">
      <c r="A18" s="2">
        <v>17</v>
      </c>
      <c r="B18" s="1" t="str">
        <f t="shared" si="0"/>
        <v>CR0709.IN0000</v>
      </c>
      <c r="C18" s="1" t="s">
        <v>19</v>
      </c>
      <c r="D18" s="1" t="s">
        <v>38</v>
      </c>
      <c r="E18" s="1">
        <v>25</v>
      </c>
      <c r="F18" s="1" t="s">
        <v>165</v>
      </c>
      <c r="G18" s="6" t="s">
        <v>167</v>
      </c>
      <c r="H18" s="2" t="str">
        <f t="shared" si="1"/>
        <v>a25</v>
      </c>
      <c r="I18" s="6" t="s">
        <v>167</v>
      </c>
    </row>
    <row r="19" spans="1:9" x14ac:dyDescent="0.2">
      <c r="A19" s="2">
        <v>18</v>
      </c>
      <c r="B19" s="1" t="str">
        <f t="shared" si="0"/>
        <v>CR0709.IN0001</v>
      </c>
      <c r="C19" s="1" t="s">
        <v>19</v>
      </c>
      <c r="D19" s="1" t="s">
        <v>40</v>
      </c>
      <c r="E19" s="1">
        <v>26</v>
      </c>
      <c r="F19" s="1" t="s">
        <v>165</v>
      </c>
      <c r="G19" s="6" t="s">
        <v>167</v>
      </c>
      <c r="H19" s="2" t="str">
        <f t="shared" si="1"/>
        <v>a26</v>
      </c>
      <c r="I19" s="6" t="s">
        <v>167</v>
      </c>
    </row>
    <row r="20" spans="1:9" x14ac:dyDescent="0.2">
      <c r="A20" s="2">
        <v>19</v>
      </c>
      <c r="B20" s="1" t="str">
        <f t="shared" si="0"/>
        <v>CR0709.IN0002</v>
      </c>
      <c r="C20" s="1" t="s">
        <v>19</v>
      </c>
      <c r="D20" s="1" t="s">
        <v>41</v>
      </c>
      <c r="E20" s="1">
        <v>27</v>
      </c>
      <c r="F20" s="1" t="s">
        <v>165</v>
      </c>
      <c r="G20" s="6" t="s">
        <v>167</v>
      </c>
      <c r="H20" s="2" t="str">
        <f t="shared" si="1"/>
        <v>a27</v>
      </c>
      <c r="I20" s="6" t="s">
        <v>167</v>
      </c>
    </row>
    <row r="21" spans="1:9" x14ac:dyDescent="0.2">
      <c r="A21" s="2">
        <v>20</v>
      </c>
      <c r="B21" s="1" t="str">
        <f t="shared" si="0"/>
        <v>CR0709.IN0003</v>
      </c>
      <c r="C21" s="1" t="s">
        <v>19</v>
      </c>
      <c r="D21" s="1" t="s">
        <v>42</v>
      </c>
      <c r="E21" s="1">
        <v>28</v>
      </c>
      <c r="F21" s="1" t="s">
        <v>165</v>
      </c>
      <c r="G21" s="6" t="s">
        <v>167</v>
      </c>
      <c r="H21" s="2" t="str">
        <f t="shared" si="1"/>
        <v>a28</v>
      </c>
      <c r="I21" s="6" t="s">
        <v>167</v>
      </c>
    </row>
    <row r="22" spans="1:9" x14ac:dyDescent="0.2">
      <c r="A22" s="2">
        <v>21</v>
      </c>
      <c r="B22" s="1" t="str">
        <f t="shared" si="0"/>
        <v>CR0709.IN0500</v>
      </c>
      <c r="C22" s="1" t="s">
        <v>19</v>
      </c>
      <c r="D22" s="1" t="s">
        <v>43</v>
      </c>
      <c r="E22" s="1">
        <v>40</v>
      </c>
      <c r="F22" s="1" t="s">
        <v>165</v>
      </c>
      <c r="G22" s="6" t="s">
        <v>167</v>
      </c>
      <c r="H22" s="2" t="str">
        <f t="shared" si="1"/>
        <v>a40</v>
      </c>
      <c r="I22" s="6" t="s">
        <v>167</v>
      </c>
    </row>
    <row r="23" spans="1:9" x14ac:dyDescent="0.2">
      <c r="A23" s="2">
        <v>22</v>
      </c>
      <c r="B23" s="1" t="str">
        <f t="shared" si="0"/>
        <v>CR0709.IN0501</v>
      </c>
      <c r="C23" s="1" t="s">
        <v>19</v>
      </c>
      <c r="D23" s="1" t="s">
        <v>44</v>
      </c>
      <c r="E23" s="1">
        <v>41</v>
      </c>
      <c r="F23" s="1" t="s">
        <v>165</v>
      </c>
      <c r="G23" s="6" t="s">
        <v>167</v>
      </c>
      <c r="H23" s="2" t="str">
        <f t="shared" si="1"/>
        <v>a41</v>
      </c>
      <c r="I23" s="6" t="s">
        <v>167</v>
      </c>
    </row>
    <row r="24" spans="1:9" x14ac:dyDescent="0.2">
      <c r="A24" s="2">
        <v>23</v>
      </c>
      <c r="B24" s="1" t="str">
        <f t="shared" si="0"/>
        <v>CR0709.IN0502</v>
      </c>
      <c r="C24" s="1" t="s">
        <v>19</v>
      </c>
      <c r="D24" s="1" t="s">
        <v>45</v>
      </c>
      <c r="E24" s="1">
        <v>42</v>
      </c>
      <c r="F24" s="1" t="s">
        <v>165</v>
      </c>
      <c r="G24" s="6" t="s">
        <v>167</v>
      </c>
      <c r="H24" s="2" t="str">
        <f t="shared" si="1"/>
        <v>a42</v>
      </c>
      <c r="I24" s="6" t="s">
        <v>167</v>
      </c>
    </row>
    <row r="25" spans="1:9" x14ac:dyDescent="0.2">
      <c r="A25" s="2">
        <v>24</v>
      </c>
      <c r="B25" s="1" t="str">
        <f t="shared" si="0"/>
        <v>CR0709.IN0503</v>
      </c>
      <c r="C25" s="1" t="s">
        <v>19</v>
      </c>
      <c r="D25" s="1" t="s">
        <v>46</v>
      </c>
      <c r="E25" s="1">
        <v>43</v>
      </c>
      <c r="F25" s="1" t="s">
        <v>165</v>
      </c>
      <c r="G25" s="6" t="s">
        <v>167</v>
      </c>
      <c r="H25" s="2" t="str">
        <f t="shared" si="1"/>
        <v>a43</v>
      </c>
      <c r="I25" s="6" t="s">
        <v>167</v>
      </c>
    </row>
    <row r="26" spans="1:9" x14ac:dyDescent="0.2">
      <c r="A26" s="2">
        <v>25</v>
      </c>
      <c r="B26" s="1" t="str">
        <f t="shared" si="0"/>
        <v>CR0709.IN0400</v>
      </c>
      <c r="C26" s="1" t="s">
        <v>19</v>
      </c>
      <c r="D26" s="1" t="s">
        <v>47</v>
      </c>
      <c r="E26" s="1">
        <v>46</v>
      </c>
      <c r="F26" s="1" t="s">
        <v>165</v>
      </c>
      <c r="G26" s="8" t="s">
        <v>168</v>
      </c>
      <c r="H26" s="2" t="str">
        <f t="shared" si="1"/>
        <v>a46</v>
      </c>
      <c r="I26" s="8" t="s">
        <v>168</v>
      </c>
    </row>
    <row r="27" spans="1:9" x14ac:dyDescent="0.2">
      <c r="A27" s="2">
        <v>26</v>
      </c>
      <c r="B27" s="1" t="str">
        <f t="shared" si="0"/>
        <v>CR0709.IN0401</v>
      </c>
      <c r="C27" s="1" t="s">
        <v>19</v>
      </c>
      <c r="D27" s="1" t="s">
        <v>48</v>
      </c>
      <c r="E27" s="1">
        <v>47</v>
      </c>
      <c r="F27" s="1" t="s">
        <v>165</v>
      </c>
      <c r="G27" s="8" t="s">
        <v>168</v>
      </c>
      <c r="H27" s="2" t="str">
        <f t="shared" si="1"/>
        <v>a47</v>
      </c>
      <c r="I27" s="8" t="s">
        <v>168</v>
      </c>
    </row>
    <row r="28" spans="1:9" x14ac:dyDescent="0.2">
      <c r="A28" s="2">
        <v>27</v>
      </c>
      <c r="B28" s="1" t="str">
        <f t="shared" si="0"/>
        <v>CR0709.IN0900</v>
      </c>
      <c r="C28" s="1" t="s">
        <v>19</v>
      </c>
      <c r="D28" s="1" t="s">
        <v>49</v>
      </c>
      <c r="E28" s="1">
        <v>38</v>
      </c>
      <c r="F28" s="1" t="s">
        <v>165</v>
      </c>
      <c r="G28" s="8" t="s">
        <v>168</v>
      </c>
      <c r="H28" s="2" t="str">
        <f t="shared" si="1"/>
        <v>a38</v>
      </c>
      <c r="I28" s="8" t="s">
        <v>168</v>
      </c>
    </row>
    <row r="29" spans="1:9" x14ac:dyDescent="0.2">
      <c r="A29" s="2">
        <v>28</v>
      </c>
      <c r="B29" s="1" t="str">
        <f t="shared" si="0"/>
        <v>CR0709.IN0901</v>
      </c>
      <c r="C29" s="1" t="s">
        <v>19</v>
      </c>
      <c r="D29" s="1" t="s">
        <v>50</v>
      </c>
      <c r="E29" s="1">
        <v>39</v>
      </c>
      <c r="F29" s="1" t="s">
        <v>165</v>
      </c>
      <c r="G29" s="8" t="s">
        <v>168</v>
      </c>
      <c r="H29" s="2" t="str">
        <f t="shared" si="1"/>
        <v>a39</v>
      </c>
      <c r="I29" s="8" t="s">
        <v>168</v>
      </c>
    </row>
    <row r="30" spans="1:9" x14ac:dyDescent="0.2">
      <c r="A30" s="2">
        <v>29</v>
      </c>
      <c r="B30" s="1" t="str">
        <f t="shared" si="0"/>
        <v>CR0709.IN0300</v>
      </c>
      <c r="C30" s="1" t="s">
        <v>19</v>
      </c>
      <c r="D30" s="1" t="s">
        <v>51</v>
      </c>
      <c r="E30" s="1">
        <v>44</v>
      </c>
      <c r="F30" s="1" t="s">
        <v>165</v>
      </c>
      <c r="G30" s="8" t="s">
        <v>169</v>
      </c>
      <c r="H30" s="2" t="str">
        <f t="shared" si="1"/>
        <v>a44</v>
      </c>
      <c r="I30" s="8" t="s">
        <v>169</v>
      </c>
    </row>
    <row r="31" spans="1:9" x14ac:dyDescent="0.2">
      <c r="A31" s="2">
        <v>30</v>
      </c>
      <c r="B31" s="1" t="str">
        <f t="shared" si="0"/>
        <v>CR0709.IN0301</v>
      </c>
      <c r="C31" s="1" t="s">
        <v>19</v>
      </c>
      <c r="D31" s="1" t="s">
        <v>52</v>
      </c>
      <c r="E31" s="1">
        <v>45</v>
      </c>
      <c r="F31" s="1" t="s">
        <v>165</v>
      </c>
      <c r="G31" s="8" t="s">
        <v>169</v>
      </c>
      <c r="H31" s="2" t="str">
        <f t="shared" si="1"/>
        <v>a45</v>
      </c>
      <c r="I31" s="8" t="s">
        <v>169</v>
      </c>
    </row>
    <row r="32" spans="1:9" x14ac:dyDescent="0.2">
      <c r="A32" s="2">
        <v>31</v>
      </c>
      <c r="B32" s="1" t="str">
        <f t="shared" si="0"/>
        <v>CR0709.IN0800</v>
      </c>
      <c r="C32" s="1" t="s">
        <v>19</v>
      </c>
      <c r="D32" s="1" t="s">
        <v>53</v>
      </c>
      <c r="E32" s="1">
        <v>36</v>
      </c>
      <c r="F32" s="1" t="s">
        <v>165</v>
      </c>
      <c r="G32" s="8" t="s">
        <v>169</v>
      </c>
      <c r="H32" s="2" t="str">
        <f t="shared" si="1"/>
        <v>a36</v>
      </c>
      <c r="I32" s="8" t="s">
        <v>169</v>
      </c>
    </row>
    <row r="33" spans="1:14" x14ac:dyDescent="0.2">
      <c r="A33" s="2">
        <v>32</v>
      </c>
      <c r="B33" s="1" t="str">
        <f t="shared" si="0"/>
        <v>CR0709.IN0801</v>
      </c>
      <c r="C33" s="1" t="s">
        <v>19</v>
      </c>
      <c r="D33" s="1" t="s">
        <v>54</v>
      </c>
      <c r="E33" s="1">
        <v>37</v>
      </c>
      <c r="F33" s="1" t="s">
        <v>165</v>
      </c>
      <c r="G33" s="8" t="s">
        <v>169</v>
      </c>
      <c r="H33" s="2" t="str">
        <f t="shared" si="1"/>
        <v>a37</v>
      </c>
      <c r="I33" s="8" t="s">
        <v>169</v>
      </c>
    </row>
    <row r="34" spans="1:14" x14ac:dyDescent="0.2">
      <c r="A34" s="2">
        <v>33</v>
      </c>
      <c r="B34" s="1" t="str">
        <f t="shared" ref="B34:B65" si="2">_xlfn.CONCAT(C34,".",D34)</f>
        <v>CR0709.OUT0000</v>
      </c>
      <c r="C34" s="1" t="s">
        <v>19</v>
      </c>
      <c r="D34" s="1" t="s">
        <v>55</v>
      </c>
      <c r="E34" s="1">
        <v>16</v>
      </c>
      <c r="F34" s="1" t="s">
        <v>165</v>
      </c>
      <c r="G34" s="8" t="s">
        <v>170</v>
      </c>
      <c r="H34" s="2" t="str">
        <f t="shared" si="1"/>
        <v>a16</v>
      </c>
      <c r="I34" s="8" t="s">
        <v>171</v>
      </c>
      <c r="L34" s="13"/>
      <c r="M34" s="14"/>
      <c r="N34" s="15"/>
    </row>
    <row r="35" spans="1:14" x14ac:dyDescent="0.2">
      <c r="A35" s="2">
        <v>34</v>
      </c>
      <c r="B35" s="1" t="str">
        <f t="shared" si="2"/>
        <v>CR0709.OUT0001</v>
      </c>
      <c r="C35" s="1" t="s">
        <v>19</v>
      </c>
      <c r="D35" s="1" t="s">
        <v>57</v>
      </c>
      <c r="E35" s="1">
        <v>17</v>
      </c>
      <c r="F35" s="1" t="s">
        <v>165</v>
      </c>
      <c r="G35" s="8" t="s">
        <v>172</v>
      </c>
      <c r="H35" s="2" t="str">
        <f t="shared" si="1"/>
        <v>a17</v>
      </c>
      <c r="I35" s="8" t="s">
        <v>171</v>
      </c>
      <c r="L35" s="1"/>
      <c r="M35" s="1"/>
      <c r="N35" s="3"/>
    </row>
    <row r="36" spans="1:14" x14ac:dyDescent="0.2">
      <c r="A36" s="2">
        <v>35</v>
      </c>
      <c r="B36" s="1" t="str">
        <f t="shared" si="2"/>
        <v>CR0709.OUT0002</v>
      </c>
      <c r="C36" s="1" t="s">
        <v>19</v>
      </c>
      <c r="D36" s="1" t="s">
        <v>58</v>
      </c>
      <c r="E36" s="1">
        <v>18</v>
      </c>
      <c r="F36" s="1" t="s">
        <v>165</v>
      </c>
      <c r="G36" s="8" t="s">
        <v>170</v>
      </c>
      <c r="H36" s="2" t="str">
        <f t="shared" si="1"/>
        <v>a18</v>
      </c>
      <c r="I36" s="8" t="s">
        <v>171</v>
      </c>
      <c r="L36" s="1"/>
      <c r="M36" s="1"/>
      <c r="N36" s="3"/>
    </row>
    <row r="37" spans="1:14" x14ac:dyDescent="0.2">
      <c r="A37" s="2">
        <v>36</v>
      </c>
      <c r="B37" s="1" t="str">
        <f t="shared" si="2"/>
        <v>CR0709.OUT0003</v>
      </c>
      <c r="C37" s="1" t="s">
        <v>19</v>
      </c>
      <c r="D37" s="1" t="s">
        <v>59</v>
      </c>
      <c r="E37" s="1">
        <v>19</v>
      </c>
      <c r="F37" s="1" t="s">
        <v>165</v>
      </c>
      <c r="G37" s="8" t="s">
        <v>172</v>
      </c>
      <c r="H37" s="2" t="str">
        <f t="shared" si="1"/>
        <v>a19</v>
      </c>
      <c r="I37" s="8" t="s">
        <v>171</v>
      </c>
      <c r="L37" s="1"/>
      <c r="M37" s="1"/>
      <c r="N37" s="3"/>
    </row>
    <row r="38" spans="1:14" x14ac:dyDescent="0.2">
      <c r="A38" s="2">
        <v>37</v>
      </c>
      <c r="B38" s="1" t="str">
        <f t="shared" si="2"/>
        <v>CR0709.OUT0004</v>
      </c>
      <c r="C38" s="1" t="s">
        <v>19</v>
      </c>
      <c r="D38" s="1" t="s">
        <v>60</v>
      </c>
      <c r="E38" s="1">
        <v>20</v>
      </c>
      <c r="F38" s="1" t="s">
        <v>165</v>
      </c>
      <c r="G38" s="8" t="s">
        <v>170</v>
      </c>
      <c r="H38" s="2" t="str">
        <f t="shared" si="1"/>
        <v>a20</v>
      </c>
      <c r="I38" s="8" t="s">
        <v>171</v>
      </c>
    </row>
    <row r="39" spans="1:14" x14ac:dyDescent="0.2">
      <c r="A39" s="2">
        <v>38</v>
      </c>
      <c r="B39" s="1" t="str">
        <f t="shared" si="2"/>
        <v>CR0709.OUT0005</v>
      </c>
      <c r="C39" s="1" t="s">
        <v>19</v>
      </c>
      <c r="D39" s="1" t="s">
        <v>61</v>
      </c>
      <c r="E39" s="1">
        <v>21</v>
      </c>
      <c r="F39" s="1" t="s">
        <v>165</v>
      </c>
      <c r="G39" s="8" t="s">
        <v>172</v>
      </c>
      <c r="H39" s="2" t="str">
        <f t="shared" si="1"/>
        <v>a21</v>
      </c>
      <c r="I39" s="8" t="s">
        <v>171</v>
      </c>
    </row>
    <row r="40" spans="1:14" x14ac:dyDescent="0.2">
      <c r="A40" s="2">
        <v>39</v>
      </c>
      <c r="B40" s="1" t="str">
        <f t="shared" si="2"/>
        <v>CR0709.OUT0006</v>
      </c>
      <c r="C40" s="1" t="s">
        <v>19</v>
      </c>
      <c r="D40" s="1" t="s">
        <v>62</v>
      </c>
      <c r="E40" s="1">
        <v>22</v>
      </c>
      <c r="F40" s="1" t="s">
        <v>165</v>
      </c>
      <c r="G40" s="8" t="s">
        <v>173</v>
      </c>
      <c r="H40" s="2" t="str">
        <f t="shared" si="1"/>
        <v>a22</v>
      </c>
      <c r="I40" s="8" t="s">
        <v>174</v>
      </c>
    </row>
    <row r="41" spans="1:14" x14ac:dyDescent="0.2">
      <c r="A41" s="2">
        <v>40</v>
      </c>
      <c r="B41" s="1" t="str">
        <f t="shared" si="2"/>
        <v>CR0709.OUT0007</v>
      </c>
      <c r="C41" s="1" t="s">
        <v>19</v>
      </c>
      <c r="D41" s="1" t="s">
        <v>63</v>
      </c>
      <c r="E41" s="1">
        <v>23</v>
      </c>
      <c r="F41" s="1" t="s">
        <v>165</v>
      </c>
      <c r="G41" s="8" t="s">
        <v>173</v>
      </c>
      <c r="H41" s="2" t="str">
        <f t="shared" si="1"/>
        <v>a23</v>
      </c>
      <c r="I41" s="8" t="s">
        <v>174</v>
      </c>
    </row>
    <row r="42" spans="1:14" x14ac:dyDescent="0.2">
      <c r="A42" s="2">
        <v>41</v>
      </c>
      <c r="B42" s="1" t="str">
        <f t="shared" si="2"/>
        <v>CR0709.OUT0008</v>
      </c>
      <c r="C42" s="1" t="s">
        <v>19</v>
      </c>
      <c r="D42" s="1" t="s">
        <v>64</v>
      </c>
      <c r="E42" s="1">
        <v>24</v>
      </c>
      <c r="F42" s="1" t="s">
        <v>165</v>
      </c>
      <c r="G42" s="8" t="s">
        <v>175</v>
      </c>
      <c r="H42" s="2" t="str">
        <f t="shared" si="1"/>
        <v>a24</v>
      </c>
      <c r="I42" s="8" t="s">
        <v>174</v>
      </c>
    </row>
    <row r="43" spans="1:14" x14ac:dyDescent="0.2">
      <c r="A43" s="2">
        <v>42</v>
      </c>
      <c r="B43" s="1" t="str">
        <f t="shared" si="2"/>
        <v>CR0709.OUT0100</v>
      </c>
      <c r="C43" s="1" t="s">
        <v>19</v>
      </c>
      <c r="D43" s="1" t="s">
        <v>68</v>
      </c>
      <c r="E43" s="1">
        <v>6</v>
      </c>
      <c r="F43" s="1" t="s">
        <v>165</v>
      </c>
      <c r="G43" s="8" t="s">
        <v>170</v>
      </c>
      <c r="H43" s="2" t="str">
        <f t="shared" si="1"/>
        <v>a6</v>
      </c>
      <c r="I43" s="8" t="s">
        <v>171</v>
      </c>
    </row>
    <row r="44" spans="1:14" x14ac:dyDescent="0.2">
      <c r="A44" s="2">
        <v>43</v>
      </c>
      <c r="B44" s="1" t="str">
        <f t="shared" si="2"/>
        <v>CR0709.OUT0101</v>
      </c>
      <c r="C44" s="1" t="s">
        <v>19</v>
      </c>
      <c r="D44" s="1" t="s">
        <v>69</v>
      </c>
      <c r="E44" s="1">
        <v>7</v>
      </c>
      <c r="F44" s="1" t="s">
        <v>165</v>
      </c>
      <c r="G44" s="8" t="s">
        <v>172</v>
      </c>
      <c r="H44" s="2" t="str">
        <f t="shared" si="1"/>
        <v>a7</v>
      </c>
      <c r="I44" s="8" t="s">
        <v>171</v>
      </c>
    </row>
    <row r="45" spans="1:14" x14ac:dyDescent="0.2">
      <c r="A45" s="2">
        <v>44</v>
      </c>
      <c r="B45" s="1" t="str">
        <f t="shared" si="2"/>
        <v>CR0709.OUT0102</v>
      </c>
      <c r="C45" s="1" t="s">
        <v>19</v>
      </c>
      <c r="D45" s="1" t="s">
        <v>70</v>
      </c>
      <c r="E45" s="1">
        <v>8</v>
      </c>
      <c r="F45" s="1" t="s">
        <v>165</v>
      </c>
      <c r="G45" s="8" t="s">
        <v>170</v>
      </c>
      <c r="H45" s="2" t="str">
        <f t="shared" si="1"/>
        <v>a8</v>
      </c>
      <c r="I45" s="8" t="s">
        <v>171</v>
      </c>
    </row>
    <row r="46" spans="1:14" x14ac:dyDescent="0.2">
      <c r="A46" s="2">
        <v>45</v>
      </c>
      <c r="B46" s="1" t="str">
        <f t="shared" si="2"/>
        <v>CR0709.OUT0103</v>
      </c>
      <c r="C46" s="1" t="s">
        <v>19</v>
      </c>
      <c r="D46" s="1" t="s">
        <v>71</v>
      </c>
      <c r="E46" s="1">
        <v>9</v>
      </c>
      <c r="F46" s="1" t="s">
        <v>165</v>
      </c>
      <c r="G46" s="8" t="s">
        <v>172</v>
      </c>
      <c r="H46" s="2" t="str">
        <f t="shared" si="1"/>
        <v>a9</v>
      </c>
      <c r="I46" s="8" t="s">
        <v>171</v>
      </c>
    </row>
    <row r="47" spans="1:14" x14ac:dyDescent="0.2">
      <c r="A47" s="2">
        <v>46</v>
      </c>
      <c r="B47" s="1" t="str">
        <f t="shared" si="2"/>
        <v>CR0709.OUT0104</v>
      </c>
      <c r="C47" s="1" t="s">
        <v>19</v>
      </c>
      <c r="D47" s="1" t="s">
        <v>72</v>
      </c>
      <c r="E47" s="1">
        <v>10</v>
      </c>
      <c r="F47" s="1" t="s">
        <v>165</v>
      </c>
      <c r="G47" s="8" t="s">
        <v>170</v>
      </c>
      <c r="H47" s="2" t="str">
        <f t="shared" si="1"/>
        <v>a10</v>
      </c>
      <c r="I47" s="8" t="s">
        <v>171</v>
      </c>
    </row>
    <row r="48" spans="1:14" x14ac:dyDescent="0.2">
      <c r="A48" s="2">
        <v>47</v>
      </c>
      <c r="B48" s="1" t="str">
        <f t="shared" si="2"/>
        <v>CR0709.OUT0105</v>
      </c>
      <c r="C48" s="1" t="s">
        <v>19</v>
      </c>
      <c r="D48" s="1" t="s">
        <v>73</v>
      </c>
      <c r="E48" s="1">
        <v>11</v>
      </c>
      <c r="F48" s="1" t="s">
        <v>165</v>
      </c>
      <c r="G48" s="8" t="s">
        <v>172</v>
      </c>
      <c r="H48" s="2" t="str">
        <f t="shared" si="1"/>
        <v>a11</v>
      </c>
      <c r="I48" s="8" t="s">
        <v>171</v>
      </c>
    </row>
    <row r="49" spans="1:9" x14ac:dyDescent="0.2">
      <c r="A49" s="2">
        <v>48</v>
      </c>
      <c r="B49" s="1" t="str">
        <f t="shared" si="2"/>
        <v>CR0709.OUT0106</v>
      </c>
      <c r="C49" s="1" t="s">
        <v>19</v>
      </c>
      <c r="D49" s="1" t="s">
        <v>74</v>
      </c>
      <c r="E49" s="1">
        <v>12</v>
      </c>
      <c r="F49" s="1" t="s">
        <v>165</v>
      </c>
      <c r="G49" s="8" t="s">
        <v>173</v>
      </c>
      <c r="H49" s="2" t="str">
        <f t="shared" si="1"/>
        <v>a12</v>
      </c>
      <c r="I49" s="8" t="s">
        <v>174</v>
      </c>
    </row>
    <row r="50" spans="1:9" x14ac:dyDescent="0.2">
      <c r="A50" s="2">
        <v>49</v>
      </c>
      <c r="B50" s="1" t="str">
        <f t="shared" si="2"/>
        <v>CR0709.OUT0107</v>
      </c>
      <c r="C50" s="1" t="s">
        <v>19</v>
      </c>
      <c r="D50" s="1" t="s">
        <v>75</v>
      </c>
      <c r="E50" s="1">
        <v>13</v>
      </c>
      <c r="F50" s="1" t="s">
        <v>165</v>
      </c>
      <c r="G50" s="8" t="s">
        <v>173</v>
      </c>
      <c r="H50" s="2" t="str">
        <f t="shared" si="1"/>
        <v>a13</v>
      </c>
      <c r="I50" s="8" t="s">
        <v>174</v>
      </c>
    </row>
    <row r="51" spans="1:9" x14ac:dyDescent="0.2">
      <c r="A51" s="2">
        <v>50</v>
      </c>
      <c r="B51" s="1" t="str">
        <f t="shared" si="2"/>
        <v>CR0709.OUT0108</v>
      </c>
      <c r="C51" s="1" t="s">
        <v>19</v>
      </c>
      <c r="D51" s="1" t="s">
        <v>76</v>
      </c>
      <c r="E51" s="1">
        <v>14</v>
      </c>
      <c r="F51" s="1" t="s">
        <v>165</v>
      </c>
      <c r="G51" s="8" t="s">
        <v>175</v>
      </c>
      <c r="H51" s="2" t="str">
        <f t="shared" si="1"/>
        <v>a14</v>
      </c>
      <c r="I51" s="8" t="s">
        <v>174</v>
      </c>
    </row>
    <row r="52" spans="1:9" x14ac:dyDescent="0.2">
      <c r="A52" s="2">
        <v>51</v>
      </c>
      <c r="B52" s="1" t="str">
        <f t="shared" si="2"/>
        <v>CR0709.OUT0200</v>
      </c>
      <c r="C52" s="1" t="s">
        <v>19</v>
      </c>
      <c r="D52" s="1" t="s">
        <v>78</v>
      </c>
      <c r="E52" s="1">
        <v>73</v>
      </c>
      <c r="F52" s="1" t="s">
        <v>165</v>
      </c>
      <c r="G52" s="8" t="s">
        <v>170</v>
      </c>
      <c r="H52" s="2" t="str">
        <f t="shared" si="1"/>
        <v>a73</v>
      </c>
      <c r="I52" s="8" t="s">
        <v>171</v>
      </c>
    </row>
    <row r="53" spans="1:9" x14ac:dyDescent="0.2">
      <c r="A53" s="2">
        <v>52</v>
      </c>
      <c r="B53" s="1" t="str">
        <f t="shared" si="2"/>
        <v>CR0709.OUT0201</v>
      </c>
      <c r="C53" s="1" t="s">
        <v>19</v>
      </c>
      <c r="D53" s="1" t="s">
        <v>79</v>
      </c>
      <c r="E53" s="1">
        <v>74</v>
      </c>
      <c r="F53" s="1" t="s">
        <v>165</v>
      </c>
      <c r="G53" s="8" t="s">
        <v>172</v>
      </c>
      <c r="H53" s="2" t="str">
        <f t="shared" si="1"/>
        <v>a74</v>
      </c>
      <c r="I53" s="8" t="s">
        <v>171</v>
      </c>
    </row>
    <row r="54" spans="1:9" x14ac:dyDescent="0.2">
      <c r="A54" s="2">
        <v>53</v>
      </c>
      <c r="B54" s="1" t="str">
        <f t="shared" si="2"/>
        <v>CR0709.OUT0202</v>
      </c>
      <c r="C54" s="1" t="s">
        <v>19</v>
      </c>
      <c r="D54" s="1" t="s">
        <v>80</v>
      </c>
      <c r="E54" s="1">
        <v>75</v>
      </c>
      <c r="F54" s="1" t="s">
        <v>165</v>
      </c>
      <c r="G54" s="8" t="s">
        <v>170</v>
      </c>
      <c r="H54" s="2" t="str">
        <f t="shared" si="1"/>
        <v>a75</v>
      </c>
      <c r="I54" s="8" t="s">
        <v>171</v>
      </c>
    </row>
    <row r="55" spans="1:9" x14ac:dyDescent="0.2">
      <c r="A55" s="2">
        <v>54</v>
      </c>
      <c r="B55" s="1" t="str">
        <f t="shared" si="2"/>
        <v>CR0709.OUT0203</v>
      </c>
      <c r="C55" s="1" t="s">
        <v>19</v>
      </c>
      <c r="D55" s="1" t="s">
        <v>81</v>
      </c>
      <c r="E55" s="1">
        <v>76</v>
      </c>
      <c r="F55" s="1" t="s">
        <v>165</v>
      </c>
      <c r="G55" s="8" t="s">
        <v>172</v>
      </c>
      <c r="H55" s="2" t="str">
        <f t="shared" si="1"/>
        <v>a76</v>
      </c>
      <c r="I55" s="8" t="s">
        <v>171</v>
      </c>
    </row>
    <row r="56" spans="1:9" x14ac:dyDescent="0.2">
      <c r="A56" s="2">
        <v>55</v>
      </c>
      <c r="B56" s="1" t="str">
        <f t="shared" si="2"/>
        <v>CR0709.OUT0204</v>
      </c>
      <c r="C56" s="1" t="s">
        <v>19</v>
      </c>
      <c r="D56" s="1" t="s">
        <v>82</v>
      </c>
      <c r="E56" s="1">
        <v>77</v>
      </c>
      <c r="F56" s="1" t="s">
        <v>165</v>
      </c>
      <c r="G56" s="8" t="s">
        <v>170</v>
      </c>
      <c r="H56" s="2" t="str">
        <f t="shared" si="1"/>
        <v>a77</v>
      </c>
      <c r="I56" s="8" t="s">
        <v>171</v>
      </c>
    </row>
    <row r="57" spans="1:9" x14ac:dyDescent="0.2">
      <c r="A57" s="2">
        <v>56</v>
      </c>
      <c r="B57" s="1" t="str">
        <f t="shared" si="2"/>
        <v>CR0709.OUT0205</v>
      </c>
      <c r="C57" s="1" t="s">
        <v>19</v>
      </c>
      <c r="D57" s="1" t="s">
        <v>83</v>
      </c>
      <c r="E57" s="1">
        <v>78</v>
      </c>
      <c r="F57" s="1" t="s">
        <v>165</v>
      </c>
      <c r="G57" s="8" t="s">
        <v>172</v>
      </c>
      <c r="H57" s="2" t="str">
        <f t="shared" si="1"/>
        <v>a78</v>
      </c>
      <c r="I57" s="8" t="s">
        <v>171</v>
      </c>
    </row>
    <row r="58" spans="1:9" x14ac:dyDescent="0.2">
      <c r="A58" s="2">
        <v>57</v>
      </c>
      <c r="B58" s="1" t="str">
        <f t="shared" si="2"/>
        <v>CR0709.OUT0206</v>
      </c>
      <c r="C58" s="1" t="s">
        <v>19</v>
      </c>
      <c r="D58" s="1" t="s">
        <v>84</v>
      </c>
      <c r="E58" s="1">
        <v>79</v>
      </c>
      <c r="F58" s="1" t="s">
        <v>165</v>
      </c>
      <c r="G58" s="8" t="s">
        <v>173</v>
      </c>
      <c r="H58" s="2" t="str">
        <f t="shared" si="1"/>
        <v>a79</v>
      </c>
      <c r="I58" s="8" t="s">
        <v>174</v>
      </c>
    </row>
    <row r="59" spans="1:9" x14ac:dyDescent="0.2">
      <c r="A59" s="2">
        <v>58</v>
      </c>
      <c r="B59" s="1" t="str">
        <f t="shared" si="2"/>
        <v>CR0709.OUT0207</v>
      </c>
      <c r="C59" s="1" t="s">
        <v>19</v>
      </c>
      <c r="D59" s="1" t="s">
        <v>85</v>
      </c>
      <c r="E59" s="1">
        <v>80</v>
      </c>
      <c r="F59" s="1" t="s">
        <v>165</v>
      </c>
      <c r="G59" s="8" t="s">
        <v>173</v>
      </c>
      <c r="H59" s="2" t="str">
        <f t="shared" si="1"/>
        <v>a80</v>
      </c>
      <c r="I59" s="8" t="s">
        <v>174</v>
      </c>
    </row>
    <row r="60" spans="1:9" x14ac:dyDescent="0.2">
      <c r="A60" s="2">
        <v>59</v>
      </c>
      <c r="B60" s="1" t="str">
        <f t="shared" si="2"/>
        <v>CR0709.OUT0208</v>
      </c>
      <c r="C60" s="1" t="s">
        <v>19</v>
      </c>
      <c r="D60" s="1" t="s">
        <v>86</v>
      </c>
      <c r="E60" s="1">
        <v>81</v>
      </c>
      <c r="F60" s="1" t="s">
        <v>165</v>
      </c>
      <c r="G60" s="8" t="s">
        <v>175</v>
      </c>
      <c r="H60" s="2" t="str">
        <f t="shared" si="1"/>
        <v>a81</v>
      </c>
      <c r="I60" s="8" t="s">
        <v>174</v>
      </c>
    </row>
    <row r="61" spans="1:9" x14ac:dyDescent="0.2">
      <c r="A61" s="2">
        <v>60</v>
      </c>
      <c r="B61" s="1" t="str">
        <f t="shared" si="2"/>
        <v>CR0709.OUT3000</v>
      </c>
      <c r="C61" s="1" t="s">
        <v>19</v>
      </c>
      <c r="D61" s="1" t="s">
        <v>88</v>
      </c>
      <c r="E61" s="1">
        <v>31</v>
      </c>
      <c r="F61" s="1" t="s">
        <v>165</v>
      </c>
      <c r="G61" s="8" t="s">
        <v>176</v>
      </c>
      <c r="H61" s="2" t="str">
        <f t="shared" si="1"/>
        <v>a31</v>
      </c>
      <c r="I61" s="8" t="s">
        <v>177</v>
      </c>
    </row>
    <row r="62" spans="1:9" x14ac:dyDescent="0.2">
      <c r="A62" s="2">
        <v>61</v>
      </c>
      <c r="B62" s="1" t="str">
        <f t="shared" si="2"/>
        <v>CR0709.OUT3001</v>
      </c>
      <c r="C62" s="1" t="s">
        <v>19</v>
      </c>
      <c r="D62" s="1" t="s">
        <v>90</v>
      </c>
      <c r="E62" s="1">
        <v>32</v>
      </c>
      <c r="F62" s="1" t="s">
        <v>165</v>
      </c>
      <c r="G62" s="8" t="s">
        <v>178</v>
      </c>
      <c r="H62" s="2" t="str">
        <f t="shared" si="1"/>
        <v>a32</v>
      </c>
      <c r="I62" s="8" t="s">
        <v>179</v>
      </c>
    </row>
    <row r="63" spans="1:9" x14ac:dyDescent="0.2">
      <c r="A63" s="2">
        <v>62</v>
      </c>
      <c r="B63" s="1" t="str">
        <f t="shared" si="2"/>
        <v>CR0709.GROUP0</v>
      </c>
      <c r="C63" s="1" t="s">
        <v>19</v>
      </c>
      <c r="D63" s="1" t="s">
        <v>65</v>
      </c>
      <c r="E63" s="1">
        <v>4</v>
      </c>
      <c r="F63" s="1" t="s">
        <v>165</v>
      </c>
      <c r="G63" s="8" t="s">
        <v>180</v>
      </c>
      <c r="H63" s="2" t="str">
        <f t="shared" si="1"/>
        <v>a4</v>
      </c>
      <c r="I63" s="8" t="s">
        <v>181</v>
      </c>
    </row>
    <row r="64" spans="1:9" x14ac:dyDescent="0.2">
      <c r="A64" s="2">
        <v>63</v>
      </c>
      <c r="B64" s="1" t="str">
        <f t="shared" si="2"/>
        <v>CR0709.GROUP1</v>
      </c>
      <c r="C64" s="1" t="s">
        <v>19</v>
      </c>
      <c r="D64" s="1" t="s">
        <v>77</v>
      </c>
      <c r="E64" s="1">
        <v>3</v>
      </c>
      <c r="F64" s="1" t="s">
        <v>165</v>
      </c>
      <c r="G64" s="8" t="s">
        <v>182</v>
      </c>
      <c r="H64" s="2" t="str">
        <f t="shared" si="1"/>
        <v>a3</v>
      </c>
      <c r="I64" s="8" t="s">
        <v>183</v>
      </c>
    </row>
    <row r="65" spans="1:9" x14ac:dyDescent="0.2">
      <c r="A65" s="2">
        <v>64</v>
      </c>
      <c r="B65" s="1" t="str">
        <f t="shared" si="2"/>
        <v>CR0709.GROUP2</v>
      </c>
      <c r="C65" s="1" t="s">
        <v>19</v>
      </c>
      <c r="D65" s="1" t="s">
        <v>87</v>
      </c>
      <c r="E65" s="1">
        <v>1</v>
      </c>
      <c r="F65" s="1" t="s">
        <v>165</v>
      </c>
      <c r="G65" s="8" t="s">
        <v>184</v>
      </c>
      <c r="H65" s="2" t="str">
        <f t="shared" si="1"/>
        <v>a1</v>
      </c>
      <c r="I65" s="8" t="s">
        <v>185</v>
      </c>
    </row>
    <row r="66" spans="1:9" x14ac:dyDescent="0.2">
      <c r="A66" s="2">
        <v>1</v>
      </c>
      <c r="B66" s="1" t="str">
        <f t="shared" ref="B66:B97" si="3">_xlfn.CONCAT(C66,".",D66)</f>
        <v>CR721S.IN0100</v>
      </c>
      <c r="C66" s="1" t="s">
        <v>92</v>
      </c>
      <c r="D66" s="1" t="s">
        <v>20</v>
      </c>
      <c r="E66" s="1">
        <v>63</v>
      </c>
      <c r="F66" s="1" t="s">
        <v>165</v>
      </c>
      <c r="G66" s="6" t="s">
        <v>166</v>
      </c>
      <c r="H66" s="2" t="str">
        <f t="shared" si="1"/>
        <v>a63</v>
      </c>
      <c r="I66" s="6" t="s">
        <v>166</v>
      </c>
    </row>
    <row r="67" spans="1:9" x14ac:dyDescent="0.2">
      <c r="A67" s="2">
        <v>2</v>
      </c>
      <c r="B67" s="1" t="str">
        <f t="shared" si="3"/>
        <v>CR721S.IN0101</v>
      </c>
      <c r="C67" s="1" t="s">
        <v>92</v>
      </c>
      <c r="D67" s="1" t="s">
        <v>23</v>
      </c>
      <c r="E67" s="1">
        <v>64</v>
      </c>
      <c r="F67" s="1" t="s">
        <v>165</v>
      </c>
      <c r="G67" s="6" t="s">
        <v>166</v>
      </c>
      <c r="H67" s="2" t="str">
        <f t="shared" ref="H67:H130" si="4">_xlfn.CONCAT(LOWER(F67),E67)</f>
        <v>a64</v>
      </c>
      <c r="I67" s="6" t="s">
        <v>166</v>
      </c>
    </row>
    <row r="68" spans="1:9" x14ac:dyDescent="0.2">
      <c r="A68" s="2">
        <v>3</v>
      </c>
      <c r="B68" s="1" t="str">
        <f t="shared" si="3"/>
        <v>CR721S.IN0102</v>
      </c>
      <c r="C68" s="1" t="s">
        <v>92</v>
      </c>
      <c r="D68" s="1" t="s">
        <v>24</v>
      </c>
      <c r="E68" s="1">
        <v>65</v>
      </c>
      <c r="F68" s="1" t="s">
        <v>165</v>
      </c>
      <c r="G68" s="6" t="s">
        <v>166</v>
      </c>
      <c r="H68" s="2" t="str">
        <f t="shared" si="4"/>
        <v>a65</v>
      </c>
      <c r="I68" s="6" t="s">
        <v>166</v>
      </c>
    </row>
    <row r="69" spans="1:9" x14ac:dyDescent="0.2">
      <c r="A69" s="2">
        <v>4</v>
      </c>
      <c r="B69" s="1" t="str">
        <f t="shared" si="3"/>
        <v>CR721S.IN0103</v>
      </c>
      <c r="C69" s="1" t="s">
        <v>92</v>
      </c>
      <c r="D69" s="1" t="s">
        <v>25</v>
      </c>
      <c r="E69" s="1">
        <v>66</v>
      </c>
      <c r="F69" s="1" t="s">
        <v>165</v>
      </c>
      <c r="G69" s="6" t="s">
        <v>166</v>
      </c>
      <c r="H69" s="2" t="str">
        <f t="shared" si="4"/>
        <v>a66</v>
      </c>
      <c r="I69" s="6" t="s">
        <v>166</v>
      </c>
    </row>
    <row r="70" spans="1:9" x14ac:dyDescent="0.2">
      <c r="A70" s="2">
        <v>5</v>
      </c>
      <c r="B70" s="1" t="str">
        <f t="shared" si="3"/>
        <v>CR721S.IN0200</v>
      </c>
      <c r="C70" s="1" t="s">
        <v>92</v>
      </c>
      <c r="D70" s="1" t="s">
        <v>26</v>
      </c>
      <c r="E70" s="1">
        <v>67</v>
      </c>
      <c r="F70" s="1" t="s">
        <v>165</v>
      </c>
      <c r="G70" s="6" t="s">
        <v>166</v>
      </c>
      <c r="H70" s="2" t="str">
        <f t="shared" si="4"/>
        <v>a67</v>
      </c>
      <c r="I70" s="6" t="s">
        <v>166</v>
      </c>
    </row>
    <row r="71" spans="1:9" x14ac:dyDescent="0.2">
      <c r="A71" s="2">
        <v>6</v>
      </c>
      <c r="B71" s="1" t="str">
        <f t="shared" si="3"/>
        <v>CR721S.IN0201</v>
      </c>
      <c r="C71" s="1" t="s">
        <v>92</v>
      </c>
      <c r="D71" s="1" t="s">
        <v>27</v>
      </c>
      <c r="E71" s="1">
        <v>68</v>
      </c>
      <c r="F71" s="1" t="s">
        <v>165</v>
      </c>
      <c r="G71" s="6" t="s">
        <v>166</v>
      </c>
      <c r="H71" s="2" t="str">
        <f t="shared" si="4"/>
        <v>a68</v>
      </c>
      <c r="I71" s="6" t="s">
        <v>166</v>
      </c>
    </row>
    <row r="72" spans="1:9" x14ac:dyDescent="0.2">
      <c r="A72" s="2">
        <v>7</v>
      </c>
      <c r="B72" s="1" t="str">
        <f t="shared" si="3"/>
        <v>CR721S.IN0202</v>
      </c>
      <c r="C72" s="1" t="s">
        <v>92</v>
      </c>
      <c r="D72" s="1" t="s">
        <v>28</v>
      </c>
      <c r="E72" s="1">
        <v>69</v>
      </c>
      <c r="F72" s="1" t="s">
        <v>165</v>
      </c>
      <c r="G72" s="6" t="s">
        <v>166</v>
      </c>
      <c r="H72" s="2" t="str">
        <f t="shared" si="4"/>
        <v>a69</v>
      </c>
      <c r="I72" s="6" t="s">
        <v>166</v>
      </c>
    </row>
    <row r="73" spans="1:9" x14ac:dyDescent="0.2">
      <c r="A73" s="2">
        <v>8</v>
      </c>
      <c r="B73" s="1" t="str">
        <f t="shared" si="3"/>
        <v>CR721S.IN0203</v>
      </c>
      <c r="C73" s="1" t="s">
        <v>92</v>
      </c>
      <c r="D73" s="1" t="s">
        <v>29</v>
      </c>
      <c r="E73" s="1">
        <v>70</v>
      </c>
      <c r="F73" s="1" t="s">
        <v>165</v>
      </c>
      <c r="G73" s="6" t="s">
        <v>166</v>
      </c>
      <c r="H73" s="2" t="str">
        <f t="shared" si="4"/>
        <v>a70</v>
      </c>
      <c r="I73" s="6" t="s">
        <v>166</v>
      </c>
    </row>
    <row r="74" spans="1:9" x14ac:dyDescent="0.2">
      <c r="A74" s="2">
        <v>9</v>
      </c>
      <c r="B74" s="1" t="str">
        <f t="shared" si="3"/>
        <v>CR721S.IN0600</v>
      </c>
      <c r="C74" s="1" t="s">
        <v>92</v>
      </c>
      <c r="D74" s="1" t="s">
        <v>30</v>
      </c>
      <c r="E74" s="1">
        <v>55</v>
      </c>
      <c r="F74" s="1" t="s">
        <v>165</v>
      </c>
      <c r="G74" s="6" t="s">
        <v>166</v>
      </c>
      <c r="H74" s="2" t="str">
        <f t="shared" si="4"/>
        <v>a55</v>
      </c>
      <c r="I74" s="6" t="s">
        <v>166</v>
      </c>
    </row>
    <row r="75" spans="1:9" x14ac:dyDescent="0.2">
      <c r="A75" s="2">
        <v>10</v>
      </c>
      <c r="B75" s="1" t="str">
        <f t="shared" si="3"/>
        <v>CR721S.IN0601</v>
      </c>
      <c r="C75" s="1" t="s">
        <v>92</v>
      </c>
      <c r="D75" s="1" t="s">
        <v>31</v>
      </c>
      <c r="E75" s="1">
        <v>56</v>
      </c>
      <c r="F75" s="1" t="s">
        <v>165</v>
      </c>
      <c r="G75" s="7" t="s">
        <v>166</v>
      </c>
      <c r="H75" s="2" t="str">
        <f t="shared" si="4"/>
        <v>a56</v>
      </c>
      <c r="I75" s="7" t="s">
        <v>166</v>
      </c>
    </row>
    <row r="76" spans="1:9" x14ac:dyDescent="0.2">
      <c r="A76" s="2">
        <v>11</v>
      </c>
      <c r="B76" s="1" t="str">
        <f t="shared" si="3"/>
        <v>CR721S.IN0602</v>
      </c>
      <c r="C76" s="1" t="s">
        <v>92</v>
      </c>
      <c r="D76" s="1" t="s">
        <v>32</v>
      </c>
      <c r="E76" s="1">
        <v>57</v>
      </c>
      <c r="F76" s="1" t="s">
        <v>165</v>
      </c>
      <c r="G76" s="6" t="s">
        <v>166</v>
      </c>
      <c r="H76" s="2" t="str">
        <f t="shared" si="4"/>
        <v>a57</v>
      </c>
      <c r="I76" s="6" t="s">
        <v>166</v>
      </c>
    </row>
    <row r="77" spans="1:9" x14ac:dyDescent="0.2">
      <c r="A77" s="2">
        <v>12</v>
      </c>
      <c r="B77" s="1" t="str">
        <f t="shared" si="3"/>
        <v>CR721S.IN0603</v>
      </c>
      <c r="C77" s="1" t="s">
        <v>92</v>
      </c>
      <c r="D77" s="1" t="s">
        <v>33</v>
      </c>
      <c r="E77" s="1">
        <v>58</v>
      </c>
      <c r="F77" s="1" t="s">
        <v>165</v>
      </c>
      <c r="G77" s="6" t="s">
        <v>166</v>
      </c>
      <c r="H77" s="2" t="str">
        <f t="shared" si="4"/>
        <v>a58</v>
      </c>
      <c r="I77" s="6" t="s">
        <v>166</v>
      </c>
    </row>
    <row r="78" spans="1:9" x14ac:dyDescent="0.2">
      <c r="A78" s="2">
        <v>13</v>
      </c>
      <c r="B78" s="1" t="str">
        <f t="shared" si="3"/>
        <v>CR721S.IN0700</v>
      </c>
      <c r="C78" s="1" t="s">
        <v>92</v>
      </c>
      <c r="D78" s="1" t="s">
        <v>34</v>
      </c>
      <c r="E78" s="1">
        <v>59</v>
      </c>
      <c r="F78" s="1" t="s">
        <v>165</v>
      </c>
      <c r="G78" s="6" t="s">
        <v>166</v>
      </c>
      <c r="H78" s="2" t="str">
        <f t="shared" si="4"/>
        <v>a59</v>
      </c>
      <c r="I78" s="6" t="s">
        <v>166</v>
      </c>
    </row>
    <row r="79" spans="1:9" x14ac:dyDescent="0.2">
      <c r="A79" s="2">
        <v>14</v>
      </c>
      <c r="B79" s="1" t="str">
        <f t="shared" si="3"/>
        <v>CR721S.IN0701</v>
      </c>
      <c r="C79" s="1" t="s">
        <v>92</v>
      </c>
      <c r="D79" s="1" t="s">
        <v>35</v>
      </c>
      <c r="E79" s="1">
        <v>60</v>
      </c>
      <c r="F79" s="1" t="s">
        <v>165</v>
      </c>
      <c r="G79" s="6" t="s">
        <v>166</v>
      </c>
      <c r="H79" s="2" t="str">
        <f t="shared" si="4"/>
        <v>a60</v>
      </c>
      <c r="I79" s="6" t="s">
        <v>166</v>
      </c>
    </row>
    <row r="80" spans="1:9" x14ac:dyDescent="0.2">
      <c r="A80" s="2">
        <v>15</v>
      </c>
      <c r="B80" s="1" t="str">
        <f t="shared" si="3"/>
        <v>CR721S.IN0702</v>
      </c>
      <c r="C80" s="1" t="s">
        <v>92</v>
      </c>
      <c r="D80" s="1" t="s">
        <v>36</v>
      </c>
      <c r="E80" s="1">
        <v>61</v>
      </c>
      <c r="F80" s="1" t="s">
        <v>165</v>
      </c>
      <c r="G80" s="6" t="s">
        <v>166</v>
      </c>
      <c r="H80" s="2" t="str">
        <f t="shared" si="4"/>
        <v>a61</v>
      </c>
      <c r="I80" s="6" t="s">
        <v>166</v>
      </c>
    </row>
    <row r="81" spans="1:9" x14ac:dyDescent="0.2">
      <c r="A81" s="2">
        <v>16</v>
      </c>
      <c r="B81" s="1" t="str">
        <f t="shared" si="3"/>
        <v>CR721S.IN0703</v>
      </c>
      <c r="C81" s="1" t="s">
        <v>92</v>
      </c>
      <c r="D81" s="1" t="s">
        <v>37</v>
      </c>
      <c r="E81" s="1">
        <v>62</v>
      </c>
      <c r="F81" s="1" t="s">
        <v>165</v>
      </c>
      <c r="G81" s="6" t="s">
        <v>166</v>
      </c>
      <c r="H81" s="2" t="str">
        <f t="shared" si="4"/>
        <v>a62</v>
      </c>
      <c r="I81" s="6" t="s">
        <v>166</v>
      </c>
    </row>
    <row r="82" spans="1:9" x14ac:dyDescent="0.2">
      <c r="A82" s="2">
        <v>17</v>
      </c>
      <c r="B82" s="1" t="str">
        <f t="shared" si="3"/>
        <v>CR721S.IN0000</v>
      </c>
      <c r="C82" s="1" t="s">
        <v>92</v>
      </c>
      <c r="D82" s="1" t="s">
        <v>38</v>
      </c>
      <c r="E82" s="1">
        <v>25</v>
      </c>
      <c r="F82" s="1" t="s">
        <v>165</v>
      </c>
      <c r="G82" s="6" t="s">
        <v>167</v>
      </c>
      <c r="H82" s="2" t="str">
        <f t="shared" si="4"/>
        <v>a25</v>
      </c>
      <c r="I82" s="6" t="s">
        <v>167</v>
      </c>
    </row>
    <row r="83" spans="1:9" x14ac:dyDescent="0.2">
      <c r="A83" s="2">
        <v>18</v>
      </c>
      <c r="B83" s="1" t="str">
        <f t="shared" si="3"/>
        <v>CR721S.IN0001</v>
      </c>
      <c r="C83" s="1" t="s">
        <v>92</v>
      </c>
      <c r="D83" s="1" t="s">
        <v>40</v>
      </c>
      <c r="E83" s="1">
        <v>26</v>
      </c>
      <c r="F83" s="1" t="s">
        <v>165</v>
      </c>
      <c r="G83" s="6" t="s">
        <v>167</v>
      </c>
      <c r="H83" s="2" t="str">
        <f t="shared" si="4"/>
        <v>a26</v>
      </c>
      <c r="I83" s="6" t="s">
        <v>167</v>
      </c>
    </row>
    <row r="84" spans="1:9" x14ac:dyDescent="0.2">
      <c r="A84" s="2">
        <v>19</v>
      </c>
      <c r="B84" s="1" t="str">
        <f t="shared" si="3"/>
        <v>CR721S.IN0002</v>
      </c>
      <c r="C84" s="1" t="s">
        <v>92</v>
      </c>
      <c r="D84" s="1" t="s">
        <v>41</v>
      </c>
      <c r="E84" s="1">
        <v>27</v>
      </c>
      <c r="F84" s="1" t="s">
        <v>165</v>
      </c>
      <c r="G84" s="6" t="s">
        <v>167</v>
      </c>
      <c r="H84" s="2" t="str">
        <f t="shared" si="4"/>
        <v>a27</v>
      </c>
      <c r="I84" s="6" t="s">
        <v>167</v>
      </c>
    </row>
    <row r="85" spans="1:9" x14ac:dyDescent="0.2">
      <c r="A85" s="2">
        <v>20</v>
      </c>
      <c r="B85" s="1" t="str">
        <f t="shared" si="3"/>
        <v>CR721S.IN0003</v>
      </c>
      <c r="C85" s="1" t="s">
        <v>92</v>
      </c>
      <c r="D85" s="1" t="s">
        <v>42</v>
      </c>
      <c r="E85" s="1">
        <v>28</v>
      </c>
      <c r="F85" s="1" t="s">
        <v>165</v>
      </c>
      <c r="G85" s="6" t="s">
        <v>167</v>
      </c>
      <c r="H85" s="2" t="str">
        <f t="shared" si="4"/>
        <v>a28</v>
      </c>
      <c r="I85" s="6" t="s">
        <v>167</v>
      </c>
    </row>
    <row r="86" spans="1:9" x14ac:dyDescent="0.2">
      <c r="A86" s="2">
        <v>21</v>
      </c>
      <c r="B86" s="1" t="str">
        <f t="shared" si="3"/>
        <v>CR721S.IN0500</v>
      </c>
      <c r="C86" s="1" t="s">
        <v>92</v>
      </c>
      <c r="D86" s="1" t="s">
        <v>43</v>
      </c>
      <c r="E86" s="1">
        <v>40</v>
      </c>
      <c r="F86" s="1" t="s">
        <v>165</v>
      </c>
      <c r="G86" s="6" t="s">
        <v>167</v>
      </c>
      <c r="H86" s="2" t="str">
        <f t="shared" si="4"/>
        <v>a40</v>
      </c>
      <c r="I86" s="6" t="s">
        <v>167</v>
      </c>
    </row>
    <row r="87" spans="1:9" x14ac:dyDescent="0.2">
      <c r="A87" s="2">
        <v>22</v>
      </c>
      <c r="B87" s="1" t="str">
        <f t="shared" si="3"/>
        <v>CR721S.IN0501</v>
      </c>
      <c r="C87" s="1" t="s">
        <v>92</v>
      </c>
      <c r="D87" s="1" t="s">
        <v>44</v>
      </c>
      <c r="E87" s="1">
        <v>41</v>
      </c>
      <c r="F87" s="1" t="s">
        <v>165</v>
      </c>
      <c r="G87" s="6" t="s">
        <v>167</v>
      </c>
      <c r="H87" s="2" t="str">
        <f t="shared" si="4"/>
        <v>a41</v>
      </c>
      <c r="I87" s="6" t="s">
        <v>167</v>
      </c>
    </row>
    <row r="88" spans="1:9" x14ac:dyDescent="0.2">
      <c r="A88" s="2">
        <v>23</v>
      </c>
      <c r="B88" s="1" t="str">
        <f t="shared" si="3"/>
        <v>CR721S.IN0502</v>
      </c>
      <c r="C88" s="1" t="s">
        <v>92</v>
      </c>
      <c r="D88" s="1" t="s">
        <v>45</v>
      </c>
      <c r="E88" s="1">
        <v>42</v>
      </c>
      <c r="F88" s="1" t="s">
        <v>165</v>
      </c>
      <c r="G88" s="6" t="s">
        <v>167</v>
      </c>
      <c r="H88" s="2" t="str">
        <f t="shared" si="4"/>
        <v>a42</v>
      </c>
      <c r="I88" s="6" t="s">
        <v>167</v>
      </c>
    </row>
    <row r="89" spans="1:9" x14ac:dyDescent="0.2">
      <c r="A89" s="2">
        <v>24</v>
      </c>
      <c r="B89" s="1" t="str">
        <f t="shared" si="3"/>
        <v>CR721S.IN0503</v>
      </c>
      <c r="C89" s="1" t="s">
        <v>92</v>
      </c>
      <c r="D89" s="1" t="s">
        <v>46</v>
      </c>
      <c r="E89" s="1">
        <v>43</v>
      </c>
      <c r="F89" s="1" t="s">
        <v>165</v>
      </c>
      <c r="G89" s="6" t="s">
        <v>167</v>
      </c>
      <c r="H89" s="2" t="str">
        <f t="shared" si="4"/>
        <v>a43</v>
      </c>
      <c r="I89" s="6" t="s">
        <v>167</v>
      </c>
    </row>
    <row r="90" spans="1:9" x14ac:dyDescent="0.2">
      <c r="A90" s="2">
        <v>25</v>
      </c>
      <c r="B90" s="1" t="str">
        <f t="shared" si="3"/>
        <v>CR721S.IN0400</v>
      </c>
      <c r="C90" s="1" t="s">
        <v>92</v>
      </c>
      <c r="D90" s="1" t="s">
        <v>47</v>
      </c>
      <c r="E90" s="1">
        <v>46</v>
      </c>
      <c r="F90" s="1" t="s">
        <v>165</v>
      </c>
      <c r="G90" s="8" t="s">
        <v>168</v>
      </c>
      <c r="H90" s="2" t="str">
        <f t="shared" si="4"/>
        <v>a46</v>
      </c>
      <c r="I90" s="8" t="s">
        <v>168</v>
      </c>
    </row>
    <row r="91" spans="1:9" x14ac:dyDescent="0.2">
      <c r="A91" s="2">
        <v>26</v>
      </c>
      <c r="B91" s="1" t="str">
        <f t="shared" si="3"/>
        <v>CR721S.IN0401</v>
      </c>
      <c r="C91" s="1" t="s">
        <v>92</v>
      </c>
      <c r="D91" s="1" t="s">
        <v>48</v>
      </c>
      <c r="E91" s="1">
        <v>47</v>
      </c>
      <c r="F91" s="1" t="s">
        <v>165</v>
      </c>
      <c r="G91" s="8" t="s">
        <v>168</v>
      </c>
      <c r="H91" s="2" t="str">
        <f t="shared" si="4"/>
        <v>a47</v>
      </c>
      <c r="I91" s="8" t="s">
        <v>168</v>
      </c>
    </row>
    <row r="92" spans="1:9" x14ac:dyDescent="0.2">
      <c r="A92" s="2">
        <v>27</v>
      </c>
      <c r="B92" s="1" t="str">
        <f t="shared" si="3"/>
        <v>CR721S.IN0900</v>
      </c>
      <c r="C92" s="1" t="s">
        <v>92</v>
      </c>
      <c r="D92" s="1" t="s">
        <v>49</v>
      </c>
      <c r="E92" s="1">
        <v>38</v>
      </c>
      <c r="F92" s="1" t="s">
        <v>165</v>
      </c>
      <c r="G92" s="8" t="s">
        <v>168</v>
      </c>
      <c r="H92" s="2" t="str">
        <f t="shared" si="4"/>
        <v>a38</v>
      </c>
      <c r="I92" s="8" t="s">
        <v>168</v>
      </c>
    </row>
    <row r="93" spans="1:9" x14ac:dyDescent="0.2">
      <c r="A93" s="2">
        <v>28</v>
      </c>
      <c r="B93" s="1" t="str">
        <f t="shared" si="3"/>
        <v>CR721S.IN0901</v>
      </c>
      <c r="C93" s="1" t="s">
        <v>92</v>
      </c>
      <c r="D93" s="1" t="s">
        <v>50</v>
      </c>
      <c r="E93" s="1">
        <v>39</v>
      </c>
      <c r="F93" s="1" t="s">
        <v>165</v>
      </c>
      <c r="G93" s="8" t="s">
        <v>168</v>
      </c>
      <c r="H93" s="2" t="str">
        <f t="shared" si="4"/>
        <v>a39</v>
      </c>
      <c r="I93" s="8" t="s">
        <v>168</v>
      </c>
    </row>
    <row r="94" spans="1:9" x14ac:dyDescent="0.2">
      <c r="A94" s="2">
        <v>29</v>
      </c>
      <c r="B94" s="1" t="str">
        <f t="shared" si="3"/>
        <v>CR721S.IN0300</v>
      </c>
      <c r="C94" s="1" t="s">
        <v>92</v>
      </c>
      <c r="D94" s="1" t="s">
        <v>51</v>
      </c>
      <c r="E94" s="1">
        <v>44</v>
      </c>
      <c r="F94" s="1" t="s">
        <v>165</v>
      </c>
      <c r="G94" s="8" t="s">
        <v>169</v>
      </c>
      <c r="H94" s="2" t="str">
        <f t="shared" si="4"/>
        <v>a44</v>
      </c>
      <c r="I94" s="8" t="s">
        <v>169</v>
      </c>
    </row>
    <row r="95" spans="1:9" x14ac:dyDescent="0.2">
      <c r="A95" s="2">
        <v>30</v>
      </c>
      <c r="B95" s="1" t="str">
        <f t="shared" si="3"/>
        <v>CR721S.IN0301</v>
      </c>
      <c r="C95" s="1" t="s">
        <v>92</v>
      </c>
      <c r="D95" s="1" t="s">
        <v>52</v>
      </c>
      <c r="E95" s="1">
        <v>45</v>
      </c>
      <c r="F95" s="1" t="s">
        <v>165</v>
      </c>
      <c r="G95" s="8" t="s">
        <v>169</v>
      </c>
      <c r="H95" s="2" t="str">
        <f t="shared" si="4"/>
        <v>a45</v>
      </c>
      <c r="I95" s="8" t="s">
        <v>169</v>
      </c>
    </row>
    <row r="96" spans="1:9" x14ac:dyDescent="0.2">
      <c r="A96" s="2">
        <v>31</v>
      </c>
      <c r="B96" s="1" t="str">
        <f t="shared" si="3"/>
        <v>CR721S.IN0800</v>
      </c>
      <c r="C96" s="1" t="s">
        <v>92</v>
      </c>
      <c r="D96" s="1" t="s">
        <v>53</v>
      </c>
      <c r="E96" s="1">
        <v>36</v>
      </c>
      <c r="F96" s="1" t="s">
        <v>165</v>
      </c>
      <c r="G96" s="8" t="s">
        <v>169</v>
      </c>
      <c r="H96" s="2" t="str">
        <f t="shared" si="4"/>
        <v>a36</v>
      </c>
      <c r="I96" s="8" t="s">
        <v>169</v>
      </c>
    </row>
    <row r="97" spans="1:14" x14ac:dyDescent="0.2">
      <c r="A97" s="2">
        <v>32</v>
      </c>
      <c r="B97" s="1" t="str">
        <f t="shared" si="3"/>
        <v>CR721S.IN0801</v>
      </c>
      <c r="C97" s="1" t="s">
        <v>92</v>
      </c>
      <c r="D97" s="1" t="s">
        <v>54</v>
      </c>
      <c r="E97" s="1">
        <v>37</v>
      </c>
      <c r="F97" s="1" t="s">
        <v>165</v>
      </c>
      <c r="G97" s="8" t="s">
        <v>169</v>
      </c>
      <c r="H97" s="2" t="str">
        <f t="shared" si="4"/>
        <v>a37</v>
      </c>
      <c r="I97" s="8" t="s">
        <v>169</v>
      </c>
    </row>
    <row r="98" spans="1:14" x14ac:dyDescent="0.2">
      <c r="A98" s="2">
        <v>33</v>
      </c>
      <c r="B98" s="1" t="str">
        <f t="shared" ref="B98:B129" si="5">_xlfn.CONCAT(C98,".",D98)</f>
        <v>CR721S.OUT0000</v>
      </c>
      <c r="C98" s="1" t="s">
        <v>92</v>
      </c>
      <c r="D98" s="1" t="s">
        <v>55</v>
      </c>
      <c r="E98" s="1">
        <v>16</v>
      </c>
      <c r="F98" s="1" t="s">
        <v>165</v>
      </c>
      <c r="G98" s="8" t="s">
        <v>170</v>
      </c>
      <c r="H98" s="2" t="str">
        <f t="shared" si="4"/>
        <v>a16</v>
      </c>
      <c r="I98" s="8" t="s">
        <v>171</v>
      </c>
      <c r="L98" s="13"/>
      <c r="M98" s="14"/>
      <c r="N98" s="15"/>
    </row>
    <row r="99" spans="1:14" x14ac:dyDescent="0.2">
      <c r="A99" s="2">
        <v>34</v>
      </c>
      <c r="B99" s="1" t="str">
        <f t="shared" si="5"/>
        <v>CR721S.OUT0001</v>
      </c>
      <c r="C99" s="1" t="s">
        <v>92</v>
      </c>
      <c r="D99" s="1" t="s">
        <v>57</v>
      </c>
      <c r="E99" s="1">
        <v>17</v>
      </c>
      <c r="F99" s="1" t="s">
        <v>165</v>
      </c>
      <c r="G99" s="8" t="s">
        <v>172</v>
      </c>
      <c r="H99" s="2" t="str">
        <f t="shared" si="4"/>
        <v>a17</v>
      </c>
      <c r="I99" s="8" t="s">
        <v>171</v>
      </c>
      <c r="L99" s="1"/>
      <c r="M99" s="1"/>
      <c r="N99" s="3"/>
    </row>
    <row r="100" spans="1:14" x14ac:dyDescent="0.2">
      <c r="A100" s="2">
        <v>35</v>
      </c>
      <c r="B100" s="1" t="str">
        <f t="shared" si="5"/>
        <v>CR721S.OUT0002</v>
      </c>
      <c r="C100" s="1" t="s">
        <v>92</v>
      </c>
      <c r="D100" s="1" t="s">
        <v>58</v>
      </c>
      <c r="E100" s="1">
        <v>18</v>
      </c>
      <c r="F100" s="1" t="s">
        <v>165</v>
      </c>
      <c r="G100" s="8" t="s">
        <v>170</v>
      </c>
      <c r="H100" s="2" t="str">
        <f t="shared" si="4"/>
        <v>a18</v>
      </c>
      <c r="I100" s="8" t="s">
        <v>171</v>
      </c>
      <c r="L100" s="1"/>
      <c r="M100" s="1"/>
      <c r="N100" s="3"/>
    </row>
    <row r="101" spans="1:14" x14ac:dyDescent="0.2">
      <c r="A101" s="2">
        <v>36</v>
      </c>
      <c r="B101" s="1" t="str">
        <f t="shared" si="5"/>
        <v>CR721S.OUT0003</v>
      </c>
      <c r="C101" s="1" t="s">
        <v>92</v>
      </c>
      <c r="D101" s="1" t="s">
        <v>59</v>
      </c>
      <c r="E101" s="1">
        <v>19</v>
      </c>
      <c r="F101" s="1" t="s">
        <v>165</v>
      </c>
      <c r="G101" s="8" t="s">
        <v>172</v>
      </c>
      <c r="H101" s="2" t="str">
        <f t="shared" si="4"/>
        <v>a19</v>
      </c>
      <c r="I101" s="8" t="s">
        <v>171</v>
      </c>
      <c r="L101" s="1"/>
      <c r="M101" s="1"/>
      <c r="N101" s="3"/>
    </row>
    <row r="102" spans="1:14" x14ac:dyDescent="0.2">
      <c r="A102" s="2">
        <v>37</v>
      </c>
      <c r="B102" s="1" t="str">
        <f t="shared" si="5"/>
        <v>CR721S.OUT0004</v>
      </c>
      <c r="C102" s="1" t="s">
        <v>92</v>
      </c>
      <c r="D102" s="1" t="s">
        <v>60</v>
      </c>
      <c r="E102" s="1">
        <v>20</v>
      </c>
      <c r="F102" s="1" t="s">
        <v>165</v>
      </c>
      <c r="G102" s="8" t="s">
        <v>170</v>
      </c>
      <c r="H102" s="2" t="str">
        <f t="shared" si="4"/>
        <v>a20</v>
      </c>
      <c r="I102" s="8" t="s">
        <v>171</v>
      </c>
    </row>
    <row r="103" spans="1:14" x14ac:dyDescent="0.2">
      <c r="A103" s="2">
        <v>38</v>
      </c>
      <c r="B103" s="1" t="str">
        <f t="shared" si="5"/>
        <v>CR721S.OUT0005</v>
      </c>
      <c r="C103" s="1" t="s">
        <v>92</v>
      </c>
      <c r="D103" s="1" t="s">
        <v>61</v>
      </c>
      <c r="E103" s="1">
        <v>21</v>
      </c>
      <c r="F103" s="1" t="s">
        <v>165</v>
      </c>
      <c r="G103" s="8" t="s">
        <v>172</v>
      </c>
      <c r="H103" s="2" t="str">
        <f t="shared" si="4"/>
        <v>a21</v>
      </c>
      <c r="I103" s="8" t="s">
        <v>171</v>
      </c>
    </row>
    <row r="104" spans="1:14" x14ac:dyDescent="0.2">
      <c r="A104" s="2">
        <v>39</v>
      </c>
      <c r="B104" s="1" t="str">
        <f t="shared" si="5"/>
        <v>CR721S.OUT0006</v>
      </c>
      <c r="C104" s="1" t="s">
        <v>92</v>
      </c>
      <c r="D104" s="1" t="s">
        <v>62</v>
      </c>
      <c r="E104" s="1">
        <v>22</v>
      </c>
      <c r="F104" s="1" t="s">
        <v>165</v>
      </c>
      <c r="G104" s="8" t="s">
        <v>173</v>
      </c>
      <c r="H104" s="2" t="str">
        <f t="shared" si="4"/>
        <v>a22</v>
      </c>
      <c r="I104" s="8" t="s">
        <v>174</v>
      </c>
    </row>
    <row r="105" spans="1:14" x14ac:dyDescent="0.2">
      <c r="A105" s="2">
        <v>40</v>
      </c>
      <c r="B105" s="1" t="str">
        <f t="shared" si="5"/>
        <v>CR721S.OUT0007</v>
      </c>
      <c r="C105" s="1" t="s">
        <v>92</v>
      </c>
      <c r="D105" s="1" t="s">
        <v>63</v>
      </c>
      <c r="E105" s="1">
        <v>23</v>
      </c>
      <c r="F105" s="1" t="s">
        <v>165</v>
      </c>
      <c r="G105" s="8" t="s">
        <v>173</v>
      </c>
      <c r="H105" s="2" t="str">
        <f t="shared" si="4"/>
        <v>a23</v>
      </c>
      <c r="I105" s="8" t="s">
        <v>174</v>
      </c>
    </row>
    <row r="106" spans="1:14" x14ac:dyDescent="0.2">
      <c r="A106" s="2">
        <v>41</v>
      </c>
      <c r="B106" s="1" t="str">
        <f t="shared" si="5"/>
        <v>CR721S.OUT0008</v>
      </c>
      <c r="C106" s="1" t="s">
        <v>92</v>
      </c>
      <c r="D106" s="1" t="s">
        <v>64</v>
      </c>
      <c r="E106" s="1">
        <v>24</v>
      </c>
      <c r="F106" s="1" t="s">
        <v>165</v>
      </c>
      <c r="G106" s="8" t="s">
        <v>175</v>
      </c>
      <c r="H106" s="2" t="str">
        <f t="shared" si="4"/>
        <v>a24</v>
      </c>
      <c r="I106" s="8" t="s">
        <v>174</v>
      </c>
    </row>
    <row r="107" spans="1:14" x14ac:dyDescent="0.2">
      <c r="A107" s="2">
        <v>42</v>
      </c>
      <c r="B107" s="1" t="str">
        <f t="shared" si="5"/>
        <v>CR721S.OUT0100</v>
      </c>
      <c r="C107" s="1" t="s">
        <v>92</v>
      </c>
      <c r="D107" s="1" t="s">
        <v>68</v>
      </c>
      <c r="E107" s="1">
        <v>6</v>
      </c>
      <c r="F107" s="1" t="s">
        <v>165</v>
      </c>
      <c r="G107" s="8" t="s">
        <v>170</v>
      </c>
      <c r="H107" s="2" t="str">
        <f t="shared" si="4"/>
        <v>a6</v>
      </c>
      <c r="I107" s="8" t="s">
        <v>171</v>
      </c>
    </row>
    <row r="108" spans="1:14" x14ac:dyDescent="0.2">
      <c r="A108" s="2">
        <v>43</v>
      </c>
      <c r="B108" s="1" t="str">
        <f t="shared" si="5"/>
        <v>CR721S.OUT0101</v>
      </c>
      <c r="C108" s="1" t="s">
        <v>92</v>
      </c>
      <c r="D108" s="1" t="s">
        <v>69</v>
      </c>
      <c r="E108" s="1">
        <v>7</v>
      </c>
      <c r="F108" s="1" t="s">
        <v>165</v>
      </c>
      <c r="G108" s="8" t="s">
        <v>172</v>
      </c>
      <c r="H108" s="2" t="str">
        <f t="shared" si="4"/>
        <v>a7</v>
      </c>
      <c r="I108" s="8" t="s">
        <v>171</v>
      </c>
    </row>
    <row r="109" spans="1:14" x14ac:dyDescent="0.2">
      <c r="A109" s="2">
        <v>44</v>
      </c>
      <c r="B109" s="1" t="str">
        <f t="shared" si="5"/>
        <v>CR721S.OUT0102</v>
      </c>
      <c r="C109" s="1" t="s">
        <v>92</v>
      </c>
      <c r="D109" s="1" t="s">
        <v>70</v>
      </c>
      <c r="E109" s="1">
        <v>8</v>
      </c>
      <c r="F109" s="1" t="s">
        <v>165</v>
      </c>
      <c r="G109" s="8" t="s">
        <v>170</v>
      </c>
      <c r="H109" s="2" t="str">
        <f t="shared" si="4"/>
        <v>a8</v>
      </c>
      <c r="I109" s="8" t="s">
        <v>171</v>
      </c>
    </row>
    <row r="110" spans="1:14" x14ac:dyDescent="0.2">
      <c r="A110" s="2">
        <v>45</v>
      </c>
      <c r="B110" s="1" t="str">
        <f t="shared" si="5"/>
        <v>CR721S.OUT0103</v>
      </c>
      <c r="C110" s="1" t="s">
        <v>92</v>
      </c>
      <c r="D110" s="1" t="s">
        <v>71</v>
      </c>
      <c r="E110" s="1">
        <v>9</v>
      </c>
      <c r="F110" s="1" t="s">
        <v>165</v>
      </c>
      <c r="G110" s="8" t="s">
        <v>172</v>
      </c>
      <c r="H110" s="2" t="str">
        <f t="shared" si="4"/>
        <v>a9</v>
      </c>
      <c r="I110" s="8" t="s">
        <v>171</v>
      </c>
    </row>
    <row r="111" spans="1:14" x14ac:dyDescent="0.2">
      <c r="A111" s="2">
        <v>46</v>
      </c>
      <c r="B111" s="1" t="str">
        <f t="shared" si="5"/>
        <v>CR721S.OUT0104</v>
      </c>
      <c r="C111" s="1" t="s">
        <v>92</v>
      </c>
      <c r="D111" s="1" t="s">
        <v>72</v>
      </c>
      <c r="E111" s="1">
        <v>10</v>
      </c>
      <c r="F111" s="1" t="s">
        <v>165</v>
      </c>
      <c r="G111" s="8" t="s">
        <v>170</v>
      </c>
      <c r="H111" s="2" t="str">
        <f t="shared" si="4"/>
        <v>a10</v>
      </c>
      <c r="I111" s="8" t="s">
        <v>171</v>
      </c>
    </row>
    <row r="112" spans="1:14" x14ac:dyDescent="0.2">
      <c r="A112" s="2">
        <v>47</v>
      </c>
      <c r="B112" s="1" t="str">
        <f t="shared" si="5"/>
        <v>CR721S.OUT0105</v>
      </c>
      <c r="C112" s="1" t="s">
        <v>92</v>
      </c>
      <c r="D112" s="1" t="s">
        <v>73</v>
      </c>
      <c r="E112" s="1">
        <v>11</v>
      </c>
      <c r="F112" s="1" t="s">
        <v>165</v>
      </c>
      <c r="G112" s="8" t="s">
        <v>172</v>
      </c>
      <c r="H112" s="2" t="str">
        <f t="shared" si="4"/>
        <v>a11</v>
      </c>
      <c r="I112" s="8" t="s">
        <v>171</v>
      </c>
    </row>
    <row r="113" spans="1:9" x14ac:dyDescent="0.2">
      <c r="A113" s="2">
        <v>48</v>
      </c>
      <c r="B113" s="1" t="str">
        <f t="shared" si="5"/>
        <v>CR721S.OUT0106</v>
      </c>
      <c r="C113" s="1" t="s">
        <v>92</v>
      </c>
      <c r="D113" s="1" t="s">
        <v>74</v>
      </c>
      <c r="E113" s="1">
        <v>12</v>
      </c>
      <c r="F113" s="1" t="s">
        <v>165</v>
      </c>
      <c r="G113" s="8" t="s">
        <v>173</v>
      </c>
      <c r="H113" s="2" t="str">
        <f t="shared" si="4"/>
        <v>a12</v>
      </c>
      <c r="I113" s="8" t="s">
        <v>174</v>
      </c>
    </row>
    <row r="114" spans="1:9" x14ac:dyDescent="0.2">
      <c r="A114" s="2">
        <v>49</v>
      </c>
      <c r="B114" s="1" t="str">
        <f t="shared" si="5"/>
        <v>CR721S.OUT0107</v>
      </c>
      <c r="C114" s="1" t="s">
        <v>92</v>
      </c>
      <c r="D114" s="1" t="s">
        <v>75</v>
      </c>
      <c r="E114" s="1">
        <v>13</v>
      </c>
      <c r="F114" s="1" t="s">
        <v>165</v>
      </c>
      <c r="G114" s="8" t="s">
        <v>173</v>
      </c>
      <c r="H114" s="2" t="str">
        <f t="shared" si="4"/>
        <v>a13</v>
      </c>
      <c r="I114" s="8" t="s">
        <v>174</v>
      </c>
    </row>
    <row r="115" spans="1:9" x14ac:dyDescent="0.2">
      <c r="A115" s="2">
        <v>50</v>
      </c>
      <c r="B115" s="1" t="str">
        <f t="shared" si="5"/>
        <v>CR721S.OUT0108</v>
      </c>
      <c r="C115" s="1" t="s">
        <v>92</v>
      </c>
      <c r="D115" s="1" t="s">
        <v>76</v>
      </c>
      <c r="E115" s="1">
        <v>14</v>
      </c>
      <c r="F115" s="1" t="s">
        <v>165</v>
      </c>
      <c r="G115" s="8" t="s">
        <v>175</v>
      </c>
      <c r="H115" s="2" t="str">
        <f t="shared" si="4"/>
        <v>a14</v>
      </c>
      <c r="I115" s="8" t="s">
        <v>174</v>
      </c>
    </row>
    <row r="116" spans="1:9" x14ac:dyDescent="0.2">
      <c r="A116" s="2">
        <v>51</v>
      </c>
      <c r="B116" s="1" t="str">
        <f t="shared" si="5"/>
        <v>CR721S.OUT0200</v>
      </c>
      <c r="C116" s="1" t="s">
        <v>92</v>
      </c>
      <c r="D116" s="1" t="s">
        <v>78</v>
      </c>
      <c r="E116" s="1">
        <v>73</v>
      </c>
      <c r="F116" s="1" t="s">
        <v>165</v>
      </c>
      <c r="G116" s="8" t="s">
        <v>170</v>
      </c>
      <c r="H116" s="2" t="str">
        <f t="shared" si="4"/>
        <v>a73</v>
      </c>
      <c r="I116" s="8" t="s">
        <v>171</v>
      </c>
    </row>
    <row r="117" spans="1:9" x14ac:dyDescent="0.2">
      <c r="A117" s="2">
        <v>52</v>
      </c>
      <c r="B117" s="1" t="str">
        <f t="shared" si="5"/>
        <v>CR721S.OUT0201</v>
      </c>
      <c r="C117" s="1" t="s">
        <v>92</v>
      </c>
      <c r="D117" s="1" t="s">
        <v>79</v>
      </c>
      <c r="E117" s="1">
        <v>74</v>
      </c>
      <c r="F117" s="1" t="s">
        <v>165</v>
      </c>
      <c r="G117" s="8" t="s">
        <v>172</v>
      </c>
      <c r="H117" s="2" t="str">
        <f t="shared" si="4"/>
        <v>a74</v>
      </c>
      <c r="I117" s="8" t="s">
        <v>171</v>
      </c>
    </row>
    <row r="118" spans="1:9" x14ac:dyDescent="0.2">
      <c r="A118" s="2">
        <v>53</v>
      </c>
      <c r="B118" s="1" t="str">
        <f t="shared" si="5"/>
        <v>CR721S.OUT0202</v>
      </c>
      <c r="C118" s="1" t="s">
        <v>92</v>
      </c>
      <c r="D118" s="1" t="s">
        <v>80</v>
      </c>
      <c r="E118" s="1">
        <v>75</v>
      </c>
      <c r="F118" s="1" t="s">
        <v>165</v>
      </c>
      <c r="G118" s="8" t="s">
        <v>170</v>
      </c>
      <c r="H118" s="2" t="str">
        <f t="shared" si="4"/>
        <v>a75</v>
      </c>
      <c r="I118" s="8" t="s">
        <v>171</v>
      </c>
    </row>
    <row r="119" spans="1:9" x14ac:dyDescent="0.2">
      <c r="A119" s="2">
        <v>54</v>
      </c>
      <c r="B119" s="1" t="str">
        <f t="shared" si="5"/>
        <v>CR721S.OUT0203</v>
      </c>
      <c r="C119" s="1" t="s">
        <v>92</v>
      </c>
      <c r="D119" s="1" t="s">
        <v>81</v>
      </c>
      <c r="E119" s="1">
        <v>76</v>
      </c>
      <c r="F119" s="1" t="s">
        <v>165</v>
      </c>
      <c r="G119" s="8" t="s">
        <v>172</v>
      </c>
      <c r="H119" s="2" t="str">
        <f t="shared" si="4"/>
        <v>a76</v>
      </c>
      <c r="I119" s="8" t="s">
        <v>171</v>
      </c>
    </row>
    <row r="120" spans="1:9" x14ac:dyDescent="0.2">
      <c r="A120" s="2">
        <v>55</v>
      </c>
      <c r="B120" s="1" t="str">
        <f t="shared" si="5"/>
        <v>CR721S.OUT0204</v>
      </c>
      <c r="C120" s="1" t="s">
        <v>92</v>
      </c>
      <c r="D120" s="1" t="s">
        <v>82</v>
      </c>
      <c r="E120" s="1">
        <v>77</v>
      </c>
      <c r="F120" s="1" t="s">
        <v>165</v>
      </c>
      <c r="G120" s="8" t="s">
        <v>170</v>
      </c>
      <c r="H120" s="2" t="str">
        <f t="shared" si="4"/>
        <v>a77</v>
      </c>
      <c r="I120" s="8" t="s">
        <v>171</v>
      </c>
    </row>
    <row r="121" spans="1:9" x14ac:dyDescent="0.2">
      <c r="A121" s="2">
        <v>56</v>
      </c>
      <c r="B121" s="1" t="str">
        <f t="shared" si="5"/>
        <v>CR721S.OUT0205</v>
      </c>
      <c r="C121" s="1" t="s">
        <v>92</v>
      </c>
      <c r="D121" s="1" t="s">
        <v>83</v>
      </c>
      <c r="E121" s="1">
        <v>78</v>
      </c>
      <c r="F121" s="1" t="s">
        <v>165</v>
      </c>
      <c r="G121" s="8" t="s">
        <v>172</v>
      </c>
      <c r="H121" s="2" t="str">
        <f t="shared" si="4"/>
        <v>a78</v>
      </c>
      <c r="I121" s="8" t="s">
        <v>171</v>
      </c>
    </row>
    <row r="122" spans="1:9" x14ac:dyDescent="0.2">
      <c r="A122" s="2">
        <v>57</v>
      </c>
      <c r="B122" s="1" t="str">
        <f t="shared" si="5"/>
        <v>CR721S.OUT0206</v>
      </c>
      <c r="C122" s="1" t="s">
        <v>92</v>
      </c>
      <c r="D122" s="1" t="s">
        <v>84</v>
      </c>
      <c r="E122" s="1">
        <v>79</v>
      </c>
      <c r="F122" s="1" t="s">
        <v>165</v>
      </c>
      <c r="G122" s="8" t="s">
        <v>173</v>
      </c>
      <c r="H122" s="2" t="str">
        <f t="shared" si="4"/>
        <v>a79</v>
      </c>
      <c r="I122" s="8" t="s">
        <v>174</v>
      </c>
    </row>
    <row r="123" spans="1:9" x14ac:dyDescent="0.2">
      <c r="A123" s="2">
        <v>58</v>
      </c>
      <c r="B123" s="1" t="str">
        <f t="shared" si="5"/>
        <v>CR721S.OUT0207</v>
      </c>
      <c r="C123" s="1" t="s">
        <v>92</v>
      </c>
      <c r="D123" s="1" t="s">
        <v>85</v>
      </c>
      <c r="E123" s="1">
        <v>80</v>
      </c>
      <c r="F123" s="1" t="s">
        <v>165</v>
      </c>
      <c r="G123" s="8" t="s">
        <v>173</v>
      </c>
      <c r="H123" s="2" t="str">
        <f t="shared" si="4"/>
        <v>a80</v>
      </c>
      <c r="I123" s="8" t="s">
        <v>174</v>
      </c>
    </row>
    <row r="124" spans="1:9" x14ac:dyDescent="0.2">
      <c r="A124" s="2">
        <v>59</v>
      </c>
      <c r="B124" s="1" t="str">
        <f t="shared" si="5"/>
        <v>CR721S.OUT0208</v>
      </c>
      <c r="C124" s="1" t="s">
        <v>92</v>
      </c>
      <c r="D124" s="1" t="s">
        <v>86</v>
      </c>
      <c r="E124" s="1">
        <v>81</v>
      </c>
      <c r="F124" s="1" t="s">
        <v>165</v>
      </c>
      <c r="G124" s="8" t="s">
        <v>175</v>
      </c>
      <c r="H124" s="2" t="str">
        <f t="shared" si="4"/>
        <v>a81</v>
      </c>
      <c r="I124" s="8" t="s">
        <v>174</v>
      </c>
    </row>
    <row r="125" spans="1:9" x14ac:dyDescent="0.2">
      <c r="A125" s="2">
        <v>60</v>
      </c>
      <c r="B125" s="1" t="str">
        <f t="shared" si="5"/>
        <v>CR721S.OUT3000</v>
      </c>
      <c r="C125" s="1" t="s">
        <v>92</v>
      </c>
      <c r="D125" s="1" t="s">
        <v>88</v>
      </c>
      <c r="E125" s="1">
        <v>31</v>
      </c>
      <c r="F125" s="1" t="s">
        <v>165</v>
      </c>
      <c r="G125" s="8" t="s">
        <v>176</v>
      </c>
      <c r="H125" s="2" t="str">
        <f t="shared" si="4"/>
        <v>a31</v>
      </c>
      <c r="I125" s="8" t="s">
        <v>177</v>
      </c>
    </row>
    <row r="126" spans="1:9" x14ac:dyDescent="0.2">
      <c r="A126" s="2">
        <v>61</v>
      </c>
      <c r="B126" s="1" t="str">
        <f t="shared" si="5"/>
        <v>CR721S.OUT3001</v>
      </c>
      <c r="C126" s="1" t="s">
        <v>92</v>
      </c>
      <c r="D126" s="1" t="s">
        <v>90</v>
      </c>
      <c r="E126" s="1">
        <v>32</v>
      </c>
      <c r="F126" s="1" t="s">
        <v>165</v>
      </c>
      <c r="G126" s="8" t="s">
        <v>178</v>
      </c>
      <c r="H126" s="2" t="str">
        <f t="shared" si="4"/>
        <v>a32</v>
      </c>
      <c r="I126" s="8" t="s">
        <v>179</v>
      </c>
    </row>
    <row r="127" spans="1:9" x14ac:dyDescent="0.2">
      <c r="A127" s="2">
        <v>62</v>
      </c>
      <c r="B127" s="1" t="str">
        <f t="shared" si="5"/>
        <v>CR721S.IN1100</v>
      </c>
      <c r="C127" s="1" t="s">
        <v>92</v>
      </c>
      <c r="D127" s="1" t="s">
        <v>93</v>
      </c>
      <c r="E127" s="1">
        <v>6</v>
      </c>
      <c r="F127" s="1" t="s">
        <v>186</v>
      </c>
      <c r="G127" s="8" t="s">
        <v>166</v>
      </c>
      <c r="H127" s="2" t="str">
        <f t="shared" si="4"/>
        <v>b6</v>
      </c>
      <c r="I127" s="8" t="s">
        <v>166</v>
      </c>
    </row>
    <row r="128" spans="1:9" x14ac:dyDescent="0.2">
      <c r="A128" s="2">
        <v>63</v>
      </c>
      <c r="B128" s="1" t="str">
        <f t="shared" si="5"/>
        <v>CR721S.IN1101</v>
      </c>
      <c r="C128" s="1" t="s">
        <v>92</v>
      </c>
      <c r="D128" s="1" t="s">
        <v>94</v>
      </c>
      <c r="E128" s="1">
        <v>7</v>
      </c>
      <c r="F128" s="1" t="s">
        <v>186</v>
      </c>
      <c r="G128" s="8" t="s">
        <v>166</v>
      </c>
      <c r="H128" s="2" t="str">
        <f t="shared" si="4"/>
        <v>b7</v>
      </c>
      <c r="I128" s="8" t="s">
        <v>166</v>
      </c>
    </row>
    <row r="129" spans="1:17" x14ac:dyDescent="0.2">
      <c r="A129" s="2">
        <v>64</v>
      </c>
      <c r="B129" s="1" t="str">
        <f t="shared" si="5"/>
        <v>CR721S.IN1102</v>
      </c>
      <c r="C129" s="1" t="s">
        <v>92</v>
      </c>
      <c r="D129" s="1" t="s">
        <v>95</v>
      </c>
      <c r="E129" s="1">
        <v>8</v>
      </c>
      <c r="F129" s="1" t="s">
        <v>186</v>
      </c>
      <c r="G129" s="8" t="s">
        <v>166</v>
      </c>
      <c r="H129" s="2" t="str">
        <f t="shared" si="4"/>
        <v>b8</v>
      </c>
      <c r="I129" s="8" t="s">
        <v>166</v>
      </c>
    </row>
    <row r="130" spans="1:17" x14ac:dyDescent="0.2">
      <c r="A130" s="2">
        <v>65</v>
      </c>
      <c r="B130" s="1" t="str">
        <f t="shared" ref="B130:B161" si="6">_xlfn.CONCAT(C130,".",D130)</f>
        <v>CR721S.IN1103</v>
      </c>
      <c r="C130" s="1" t="s">
        <v>92</v>
      </c>
      <c r="D130" s="1" t="s">
        <v>96</v>
      </c>
      <c r="E130" s="1">
        <v>9</v>
      </c>
      <c r="F130" s="1" t="s">
        <v>186</v>
      </c>
      <c r="G130" s="8" t="s">
        <v>166</v>
      </c>
      <c r="H130" s="2" t="str">
        <f t="shared" si="4"/>
        <v>b9</v>
      </c>
      <c r="I130" s="8" t="s">
        <v>166</v>
      </c>
      <c r="N130" s="1"/>
      <c r="O130" s="1"/>
      <c r="P130" s="1"/>
      <c r="Q130" s="8"/>
    </row>
    <row r="131" spans="1:17" x14ac:dyDescent="0.2">
      <c r="A131" s="2">
        <v>66</v>
      </c>
      <c r="B131" s="1" t="str">
        <f t="shared" si="6"/>
        <v>CR721S.IN1600</v>
      </c>
      <c r="C131" s="1" t="s">
        <v>92</v>
      </c>
      <c r="D131" s="1" t="s">
        <v>97</v>
      </c>
      <c r="E131" s="1">
        <v>36</v>
      </c>
      <c r="F131" s="1" t="s">
        <v>186</v>
      </c>
      <c r="G131" s="8" t="s">
        <v>166</v>
      </c>
      <c r="H131" s="2" t="str">
        <f t="shared" ref="H131:H194" si="7">_xlfn.CONCAT(LOWER(F131),E131)</f>
        <v>b36</v>
      </c>
      <c r="I131" s="8" t="s">
        <v>166</v>
      </c>
      <c r="N131" s="1"/>
      <c r="O131" s="1"/>
      <c r="P131" s="1"/>
      <c r="Q131" s="8"/>
    </row>
    <row r="132" spans="1:17" x14ac:dyDescent="0.2">
      <c r="A132" s="2">
        <v>67</v>
      </c>
      <c r="B132" s="1" t="str">
        <f t="shared" si="6"/>
        <v>CR721S.IN1601</v>
      </c>
      <c r="C132" s="1" t="s">
        <v>92</v>
      </c>
      <c r="D132" s="1" t="s">
        <v>98</v>
      </c>
      <c r="E132" s="1">
        <v>37</v>
      </c>
      <c r="F132" s="1" t="s">
        <v>186</v>
      </c>
      <c r="G132" s="8" t="s">
        <v>166</v>
      </c>
      <c r="H132" s="2" t="str">
        <f t="shared" si="7"/>
        <v>b37</v>
      </c>
      <c r="I132" s="8" t="s">
        <v>166</v>
      </c>
      <c r="N132" s="1"/>
      <c r="O132" s="1"/>
      <c r="P132" s="1"/>
      <c r="Q132" s="8"/>
    </row>
    <row r="133" spans="1:17" x14ac:dyDescent="0.2">
      <c r="A133" s="2">
        <v>68</v>
      </c>
      <c r="B133" s="1" t="str">
        <f t="shared" si="6"/>
        <v>CR721S.IN1602</v>
      </c>
      <c r="C133" s="1" t="s">
        <v>92</v>
      </c>
      <c r="D133" s="1" t="s">
        <v>99</v>
      </c>
      <c r="E133" s="1">
        <v>38</v>
      </c>
      <c r="F133" s="1" t="s">
        <v>186</v>
      </c>
      <c r="G133" s="8" t="s">
        <v>166</v>
      </c>
      <c r="H133" s="2" t="str">
        <f t="shared" si="7"/>
        <v>b38</v>
      </c>
      <c r="I133" s="8" t="s">
        <v>166</v>
      </c>
      <c r="N133" s="1"/>
      <c r="O133" s="1"/>
      <c r="P133" s="1"/>
      <c r="Q133" s="8"/>
    </row>
    <row r="134" spans="1:17" x14ac:dyDescent="0.2">
      <c r="A134" s="2">
        <v>69</v>
      </c>
      <c r="B134" s="1" t="str">
        <f t="shared" si="6"/>
        <v>CR721S.IN1603</v>
      </c>
      <c r="C134" s="1" t="s">
        <v>92</v>
      </c>
      <c r="D134" s="1" t="s">
        <v>100</v>
      </c>
      <c r="E134" s="1">
        <v>39</v>
      </c>
      <c r="F134" s="1" t="s">
        <v>186</v>
      </c>
      <c r="G134" s="8" t="s">
        <v>166</v>
      </c>
      <c r="H134" s="2" t="str">
        <f t="shared" si="7"/>
        <v>b39</v>
      </c>
      <c r="I134" s="8" t="s">
        <v>166</v>
      </c>
      <c r="N134" s="1"/>
      <c r="O134" s="1"/>
      <c r="P134" s="1"/>
      <c r="Q134" s="8"/>
    </row>
    <row r="135" spans="1:17" x14ac:dyDescent="0.2">
      <c r="A135" s="2">
        <v>70</v>
      </c>
      <c r="B135" s="1" t="str">
        <f t="shared" si="6"/>
        <v>CR721S.IN1000</v>
      </c>
      <c r="C135" s="1" t="s">
        <v>92</v>
      </c>
      <c r="D135" s="1" t="s">
        <v>101</v>
      </c>
      <c r="E135" s="1">
        <v>44</v>
      </c>
      <c r="F135" s="1" t="s">
        <v>186</v>
      </c>
      <c r="G135" s="8" t="s">
        <v>167</v>
      </c>
      <c r="H135" s="2" t="str">
        <f t="shared" si="7"/>
        <v>b44</v>
      </c>
      <c r="I135" s="8" t="s">
        <v>167</v>
      </c>
      <c r="N135" s="1"/>
      <c r="O135" s="1"/>
      <c r="P135" s="1"/>
      <c r="Q135" s="8"/>
    </row>
    <row r="136" spans="1:17" x14ac:dyDescent="0.2">
      <c r="A136" s="2">
        <v>71</v>
      </c>
      <c r="B136" s="1" t="str">
        <f t="shared" si="6"/>
        <v>CR721S.IN1001</v>
      </c>
      <c r="C136" s="1" t="s">
        <v>92</v>
      </c>
      <c r="D136" s="1" t="s">
        <v>102</v>
      </c>
      <c r="E136" s="1">
        <v>45</v>
      </c>
      <c r="F136" s="1" t="s">
        <v>186</v>
      </c>
      <c r="G136" s="8" t="s">
        <v>167</v>
      </c>
      <c r="H136" s="2" t="str">
        <f t="shared" si="7"/>
        <v>b45</v>
      </c>
      <c r="I136" s="8" t="s">
        <v>167</v>
      </c>
      <c r="N136" s="1"/>
      <c r="O136" s="1"/>
      <c r="P136" s="1"/>
      <c r="Q136" s="8"/>
    </row>
    <row r="137" spans="1:17" x14ac:dyDescent="0.2">
      <c r="A137" s="2">
        <v>72</v>
      </c>
      <c r="B137" s="1" t="str">
        <f t="shared" si="6"/>
        <v>CR721S.IN1002</v>
      </c>
      <c r="C137" s="1" t="s">
        <v>92</v>
      </c>
      <c r="D137" s="1" t="s">
        <v>103</v>
      </c>
      <c r="E137" s="1">
        <v>46</v>
      </c>
      <c r="F137" s="1" t="s">
        <v>186</v>
      </c>
      <c r="G137" s="8" t="s">
        <v>167</v>
      </c>
      <c r="H137" s="2" t="str">
        <f t="shared" si="7"/>
        <v>b46</v>
      </c>
      <c r="I137" s="8" t="s">
        <v>167</v>
      </c>
      <c r="N137" s="1"/>
      <c r="O137" s="1"/>
      <c r="P137" s="1"/>
      <c r="Q137" s="8"/>
    </row>
    <row r="138" spans="1:17" x14ac:dyDescent="0.2">
      <c r="A138" s="2">
        <v>73</v>
      </c>
      <c r="B138" s="1" t="str">
        <f t="shared" si="6"/>
        <v>CR721S.IN1003</v>
      </c>
      <c r="C138" s="1" t="s">
        <v>92</v>
      </c>
      <c r="D138" s="1" t="s">
        <v>104</v>
      </c>
      <c r="E138" s="1">
        <v>47</v>
      </c>
      <c r="F138" s="1" t="s">
        <v>186</v>
      </c>
      <c r="G138" s="8" t="s">
        <v>167</v>
      </c>
      <c r="H138" s="2" t="str">
        <f t="shared" si="7"/>
        <v>b47</v>
      </c>
      <c r="I138" s="8" t="s">
        <v>167</v>
      </c>
      <c r="N138" s="1"/>
      <c r="O138" s="1"/>
      <c r="P138" s="1"/>
      <c r="Q138" s="8"/>
    </row>
    <row r="139" spans="1:17" x14ac:dyDescent="0.2">
      <c r="A139" s="2">
        <v>74</v>
      </c>
      <c r="B139" s="1" t="str">
        <f t="shared" si="6"/>
        <v>CR721S.IN1500</v>
      </c>
      <c r="C139" s="1" t="s">
        <v>92</v>
      </c>
      <c r="D139" s="1" t="s">
        <v>105</v>
      </c>
      <c r="E139" s="1">
        <v>59</v>
      </c>
      <c r="F139" s="1" t="s">
        <v>186</v>
      </c>
      <c r="G139" s="8" t="s">
        <v>167</v>
      </c>
      <c r="H139" s="2" t="str">
        <f t="shared" si="7"/>
        <v>b59</v>
      </c>
      <c r="I139" s="8" t="s">
        <v>167</v>
      </c>
      <c r="N139" s="1"/>
      <c r="O139" s="1"/>
      <c r="P139" s="1"/>
      <c r="Q139" s="8"/>
    </row>
    <row r="140" spans="1:17" x14ac:dyDescent="0.2">
      <c r="A140" s="2">
        <v>75</v>
      </c>
      <c r="B140" s="1" t="str">
        <f t="shared" si="6"/>
        <v>CR721S.IN1501</v>
      </c>
      <c r="C140" s="1" t="s">
        <v>92</v>
      </c>
      <c r="D140" s="1" t="s">
        <v>106</v>
      </c>
      <c r="E140" s="1">
        <v>60</v>
      </c>
      <c r="F140" s="1" t="s">
        <v>186</v>
      </c>
      <c r="G140" s="8" t="s">
        <v>167</v>
      </c>
      <c r="H140" s="2" t="str">
        <f t="shared" si="7"/>
        <v>b60</v>
      </c>
      <c r="I140" s="8" t="s">
        <v>167</v>
      </c>
      <c r="N140" s="1"/>
      <c r="O140" s="1"/>
      <c r="P140" s="1"/>
      <c r="Q140" s="8"/>
    </row>
    <row r="141" spans="1:17" x14ac:dyDescent="0.2">
      <c r="A141" s="2">
        <v>76</v>
      </c>
      <c r="B141" s="1" t="str">
        <f t="shared" si="6"/>
        <v>CR721S.IN1502</v>
      </c>
      <c r="C141" s="1" t="s">
        <v>92</v>
      </c>
      <c r="D141" s="1" t="s">
        <v>107</v>
      </c>
      <c r="E141" s="1">
        <v>61</v>
      </c>
      <c r="F141" s="1" t="s">
        <v>186</v>
      </c>
      <c r="G141" s="8" t="s">
        <v>167</v>
      </c>
      <c r="H141" s="2" t="str">
        <f t="shared" si="7"/>
        <v>b61</v>
      </c>
      <c r="I141" s="8" t="s">
        <v>167</v>
      </c>
      <c r="N141" s="1"/>
      <c r="O141" s="1"/>
      <c r="P141" s="1"/>
      <c r="Q141" s="8"/>
    </row>
    <row r="142" spans="1:17" x14ac:dyDescent="0.2">
      <c r="A142" s="2">
        <v>77</v>
      </c>
      <c r="B142" s="1" t="str">
        <f t="shared" si="6"/>
        <v>CR721S.IN1503</v>
      </c>
      <c r="C142" s="1" t="s">
        <v>92</v>
      </c>
      <c r="D142" s="1" t="s">
        <v>108</v>
      </c>
      <c r="E142" s="1">
        <v>62</v>
      </c>
      <c r="F142" s="1" t="s">
        <v>186</v>
      </c>
      <c r="G142" s="8" t="s">
        <v>167</v>
      </c>
      <c r="H142" s="2" t="str">
        <f t="shared" si="7"/>
        <v>b62</v>
      </c>
      <c r="I142" s="8" t="s">
        <v>167</v>
      </c>
      <c r="N142" s="1"/>
      <c r="O142" s="1"/>
      <c r="P142" s="1"/>
      <c r="Q142" s="8"/>
    </row>
    <row r="143" spans="1:17" x14ac:dyDescent="0.2">
      <c r="A143" s="2">
        <v>78</v>
      </c>
      <c r="B143" s="1" t="str">
        <f t="shared" si="6"/>
        <v>CR721S.IN1200</v>
      </c>
      <c r="C143" s="1" t="s">
        <v>92</v>
      </c>
      <c r="D143" s="1" t="s">
        <v>109</v>
      </c>
      <c r="E143" s="1">
        <v>10</v>
      </c>
      <c r="F143" s="1" t="s">
        <v>186</v>
      </c>
      <c r="G143" s="8" t="s">
        <v>187</v>
      </c>
      <c r="H143" s="2" t="str">
        <f t="shared" si="7"/>
        <v>b10</v>
      </c>
      <c r="I143" s="8" t="s">
        <v>187</v>
      </c>
      <c r="N143" s="1"/>
      <c r="O143" s="1"/>
      <c r="P143" s="1"/>
      <c r="Q143" s="8"/>
    </row>
    <row r="144" spans="1:17" x14ac:dyDescent="0.2">
      <c r="A144" s="2">
        <v>79</v>
      </c>
      <c r="B144" s="1" t="str">
        <f t="shared" si="6"/>
        <v>CR721S.IN1201</v>
      </c>
      <c r="C144" s="1" t="s">
        <v>92</v>
      </c>
      <c r="D144" s="1" t="s">
        <v>110</v>
      </c>
      <c r="E144" s="1">
        <v>11</v>
      </c>
      <c r="F144" s="1" t="s">
        <v>186</v>
      </c>
      <c r="G144" s="8" t="s">
        <v>187</v>
      </c>
      <c r="H144" s="2" t="str">
        <f t="shared" si="7"/>
        <v>b11</v>
      </c>
      <c r="I144" s="8" t="s">
        <v>187</v>
      </c>
      <c r="N144" s="1"/>
      <c r="O144" s="1"/>
      <c r="P144" s="1"/>
      <c r="Q144" s="8"/>
    </row>
    <row r="145" spans="1:17" x14ac:dyDescent="0.2">
      <c r="A145" s="2">
        <v>80</v>
      </c>
      <c r="B145" s="1" t="str">
        <f t="shared" si="6"/>
        <v>CR721S.IN1202</v>
      </c>
      <c r="C145" s="1" t="s">
        <v>92</v>
      </c>
      <c r="D145" s="1" t="s">
        <v>111</v>
      </c>
      <c r="E145" s="1">
        <v>12</v>
      </c>
      <c r="F145" s="1" t="s">
        <v>186</v>
      </c>
      <c r="G145" s="8" t="s">
        <v>187</v>
      </c>
      <c r="H145" s="2" t="str">
        <f t="shared" si="7"/>
        <v>b12</v>
      </c>
      <c r="I145" s="8" t="s">
        <v>187</v>
      </c>
      <c r="N145" s="1"/>
      <c r="O145" s="1"/>
      <c r="P145" s="1"/>
      <c r="Q145" s="8"/>
    </row>
    <row r="146" spans="1:17" x14ac:dyDescent="0.2">
      <c r="A146" s="2">
        <v>81</v>
      </c>
      <c r="B146" s="1" t="str">
        <f t="shared" si="6"/>
        <v>CR721S.IN1203</v>
      </c>
      <c r="C146" s="1" t="s">
        <v>92</v>
      </c>
      <c r="D146" s="1" t="s">
        <v>112</v>
      </c>
      <c r="E146" s="1">
        <v>13</v>
      </c>
      <c r="F146" s="1" t="s">
        <v>186</v>
      </c>
      <c r="G146" s="8" t="s">
        <v>187</v>
      </c>
      <c r="H146" s="2" t="str">
        <f t="shared" si="7"/>
        <v>b13</v>
      </c>
      <c r="I146" s="8" t="s">
        <v>187</v>
      </c>
      <c r="N146" s="1"/>
      <c r="O146" s="1"/>
      <c r="P146" s="1"/>
      <c r="Q146" s="8"/>
    </row>
    <row r="147" spans="1:17" x14ac:dyDescent="0.2">
      <c r="A147" s="2">
        <v>82</v>
      </c>
      <c r="B147" s="1" t="str">
        <f t="shared" si="6"/>
        <v>CR721S.IN1400</v>
      </c>
      <c r="C147" s="1" t="s">
        <v>92</v>
      </c>
      <c r="D147" s="1" t="s">
        <v>113</v>
      </c>
      <c r="E147" s="1">
        <v>29</v>
      </c>
      <c r="F147" s="1" t="s">
        <v>186</v>
      </c>
      <c r="G147" s="8" t="s">
        <v>187</v>
      </c>
      <c r="H147" s="2" t="str">
        <f t="shared" si="7"/>
        <v>b29</v>
      </c>
      <c r="I147" s="8" t="s">
        <v>187</v>
      </c>
      <c r="N147" s="1"/>
      <c r="O147" s="1"/>
      <c r="P147" s="1"/>
      <c r="Q147" s="8"/>
    </row>
    <row r="148" spans="1:17" x14ac:dyDescent="0.2">
      <c r="A148" s="2">
        <v>83</v>
      </c>
      <c r="B148" s="1" t="str">
        <f t="shared" si="6"/>
        <v>CR721S.IN1401</v>
      </c>
      <c r="C148" s="1" t="s">
        <v>92</v>
      </c>
      <c r="D148" s="1" t="s">
        <v>114</v>
      </c>
      <c r="E148" s="1">
        <v>30</v>
      </c>
      <c r="F148" s="1" t="s">
        <v>186</v>
      </c>
      <c r="G148" s="8" t="s">
        <v>187</v>
      </c>
      <c r="H148" s="2" t="str">
        <f t="shared" si="7"/>
        <v>b30</v>
      </c>
      <c r="I148" s="8" t="s">
        <v>187</v>
      </c>
      <c r="N148" s="1"/>
      <c r="O148" s="1"/>
      <c r="P148" s="1"/>
      <c r="Q148" s="8"/>
    </row>
    <row r="149" spans="1:17" x14ac:dyDescent="0.2">
      <c r="A149" s="2">
        <v>84</v>
      </c>
      <c r="B149" s="1" t="str">
        <f t="shared" si="6"/>
        <v>CR721S.IN1402</v>
      </c>
      <c r="C149" s="1" t="s">
        <v>92</v>
      </c>
      <c r="D149" s="1" t="s">
        <v>115</v>
      </c>
      <c r="E149" s="1">
        <v>31</v>
      </c>
      <c r="F149" s="1" t="s">
        <v>186</v>
      </c>
      <c r="G149" s="8" t="s">
        <v>187</v>
      </c>
      <c r="H149" s="2" t="str">
        <f t="shared" si="7"/>
        <v>b31</v>
      </c>
      <c r="I149" s="8" t="s">
        <v>187</v>
      </c>
      <c r="N149" s="1"/>
      <c r="O149" s="1"/>
      <c r="P149" s="1"/>
      <c r="Q149" s="8"/>
    </row>
    <row r="150" spans="1:17" x14ac:dyDescent="0.2">
      <c r="A150" s="2">
        <v>85</v>
      </c>
      <c r="B150" s="1" t="str">
        <f t="shared" si="6"/>
        <v>CR721S.IN1403</v>
      </c>
      <c r="C150" s="1" t="s">
        <v>92</v>
      </c>
      <c r="D150" s="1" t="s">
        <v>116</v>
      </c>
      <c r="E150" s="1">
        <v>32</v>
      </c>
      <c r="F150" s="1" t="s">
        <v>186</v>
      </c>
      <c r="G150" s="8" t="s">
        <v>187</v>
      </c>
      <c r="H150" s="2" t="str">
        <f t="shared" si="7"/>
        <v>b32</v>
      </c>
      <c r="I150" s="8" t="s">
        <v>187</v>
      </c>
      <c r="N150" s="1"/>
      <c r="O150" s="1"/>
      <c r="P150" s="1"/>
      <c r="Q150" s="8"/>
    </row>
    <row r="151" spans="1:17" x14ac:dyDescent="0.2">
      <c r="A151" s="2">
        <v>86</v>
      </c>
      <c r="B151" s="1" t="str">
        <f t="shared" si="6"/>
        <v>CR721S.IN1700</v>
      </c>
      <c r="C151" s="1" t="s">
        <v>92</v>
      </c>
      <c r="D151" s="1" t="s">
        <v>117</v>
      </c>
      <c r="E151" s="1">
        <v>40</v>
      </c>
      <c r="F151" s="1" t="s">
        <v>186</v>
      </c>
      <c r="G151" s="8" t="s">
        <v>187</v>
      </c>
      <c r="H151" s="2" t="str">
        <f t="shared" si="7"/>
        <v>b40</v>
      </c>
      <c r="I151" s="8" t="s">
        <v>187</v>
      </c>
      <c r="N151" s="1"/>
      <c r="O151" s="1"/>
      <c r="P151" s="1"/>
      <c r="Q151" s="8"/>
    </row>
    <row r="152" spans="1:17" x14ac:dyDescent="0.2">
      <c r="A152" s="2">
        <v>87</v>
      </c>
      <c r="B152" s="1" t="str">
        <f t="shared" si="6"/>
        <v>CR721S.IN1701</v>
      </c>
      <c r="C152" s="1" t="s">
        <v>92</v>
      </c>
      <c r="D152" s="1" t="s">
        <v>118</v>
      </c>
      <c r="E152" s="1">
        <v>41</v>
      </c>
      <c r="F152" s="1" t="s">
        <v>186</v>
      </c>
      <c r="G152" s="8" t="s">
        <v>187</v>
      </c>
      <c r="H152" s="2" t="str">
        <f t="shared" si="7"/>
        <v>b41</v>
      </c>
      <c r="I152" s="8" t="s">
        <v>187</v>
      </c>
      <c r="N152" s="1"/>
      <c r="O152" s="1"/>
      <c r="P152" s="1"/>
      <c r="Q152" s="8"/>
    </row>
    <row r="153" spans="1:17" x14ac:dyDescent="0.2">
      <c r="A153" s="2">
        <v>88</v>
      </c>
      <c r="B153" s="1" t="str">
        <f t="shared" si="6"/>
        <v>CR721S.IN1702</v>
      </c>
      <c r="C153" s="1" t="s">
        <v>92</v>
      </c>
      <c r="D153" s="1" t="s">
        <v>119</v>
      </c>
      <c r="E153" s="1">
        <v>42</v>
      </c>
      <c r="F153" s="1" t="s">
        <v>186</v>
      </c>
      <c r="G153" s="8" t="s">
        <v>187</v>
      </c>
      <c r="H153" s="2" t="str">
        <f t="shared" si="7"/>
        <v>b42</v>
      </c>
      <c r="I153" s="8" t="s">
        <v>187</v>
      </c>
      <c r="N153" s="1"/>
      <c r="O153" s="1"/>
      <c r="P153" s="1"/>
      <c r="Q153" s="8"/>
    </row>
    <row r="154" spans="1:17" x14ac:dyDescent="0.2">
      <c r="A154" s="2">
        <v>89</v>
      </c>
      <c r="B154" s="1" t="str">
        <f t="shared" si="6"/>
        <v>CR721S.IN1703</v>
      </c>
      <c r="C154" s="1" t="s">
        <v>92</v>
      </c>
      <c r="D154" s="1" t="s">
        <v>120</v>
      </c>
      <c r="E154" s="1">
        <v>43</v>
      </c>
      <c r="F154" s="1" t="s">
        <v>186</v>
      </c>
      <c r="G154" s="8" t="s">
        <v>187</v>
      </c>
      <c r="H154" s="2" t="str">
        <f t="shared" si="7"/>
        <v>b43</v>
      </c>
      <c r="I154" s="8" t="s">
        <v>187</v>
      </c>
      <c r="N154" s="1"/>
      <c r="O154" s="1"/>
      <c r="P154" s="1"/>
      <c r="Q154" s="8"/>
    </row>
    <row r="155" spans="1:17" x14ac:dyDescent="0.2">
      <c r="A155" s="2">
        <v>90</v>
      </c>
      <c r="B155" s="1" t="str">
        <f t="shared" si="6"/>
        <v>CR721S.IN1800</v>
      </c>
      <c r="C155" s="1" t="s">
        <v>92</v>
      </c>
      <c r="D155" s="1" t="s">
        <v>121</v>
      </c>
      <c r="E155" s="1">
        <v>55</v>
      </c>
      <c r="F155" s="1" t="s">
        <v>186</v>
      </c>
      <c r="G155" s="8" t="s">
        <v>187</v>
      </c>
      <c r="H155" s="2" t="str">
        <f t="shared" si="7"/>
        <v>b55</v>
      </c>
      <c r="I155" s="8" t="s">
        <v>187</v>
      </c>
      <c r="N155" s="1"/>
      <c r="O155" s="1"/>
      <c r="P155" s="1"/>
      <c r="Q155" s="8"/>
    </row>
    <row r="156" spans="1:17" x14ac:dyDescent="0.2">
      <c r="A156" s="2">
        <v>91</v>
      </c>
      <c r="B156" s="1" t="str">
        <f t="shared" si="6"/>
        <v>CR721S.IN1801</v>
      </c>
      <c r="C156" s="1" t="s">
        <v>92</v>
      </c>
      <c r="D156" s="1" t="s">
        <v>122</v>
      </c>
      <c r="E156" s="1">
        <v>56</v>
      </c>
      <c r="F156" s="1" t="s">
        <v>186</v>
      </c>
      <c r="G156" s="8" t="s">
        <v>187</v>
      </c>
      <c r="H156" s="2" t="str">
        <f t="shared" si="7"/>
        <v>b56</v>
      </c>
      <c r="I156" s="8" t="s">
        <v>187</v>
      </c>
      <c r="N156" s="1"/>
      <c r="O156" s="1"/>
      <c r="P156" s="1"/>
      <c r="Q156" s="8"/>
    </row>
    <row r="157" spans="1:17" x14ac:dyDescent="0.2">
      <c r="A157" s="2">
        <v>92</v>
      </c>
      <c r="B157" s="1" t="str">
        <f t="shared" si="6"/>
        <v>CR721S.IN1802</v>
      </c>
      <c r="C157" s="1" t="s">
        <v>92</v>
      </c>
      <c r="D157" s="1" t="s">
        <v>123</v>
      </c>
      <c r="E157" s="1">
        <v>57</v>
      </c>
      <c r="F157" s="1" t="s">
        <v>186</v>
      </c>
      <c r="G157" s="8" t="s">
        <v>187</v>
      </c>
      <c r="H157" s="2" t="str">
        <f t="shared" si="7"/>
        <v>b57</v>
      </c>
      <c r="I157" s="8" t="s">
        <v>187</v>
      </c>
      <c r="N157" s="1"/>
      <c r="O157" s="1"/>
      <c r="P157" s="1"/>
      <c r="Q157" s="8"/>
    </row>
    <row r="158" spans="1:17" x14ac:dyDescent="0.2">
      <c r="A158" s="2">
        <v>93</v>
      </c>
      <c r="B158" s="1" t="str">
        <f t="shared" si="6"/>
        <v>CR721S.IN1803</v>
      </c>
      <c r="C158" s="1" t="s">
        <v>92</v>
      </c>
      <c r="D158" s="1" t="s">
        <v>124</v>
      </c>
      <c r="E158" s="1">
        <v>58</v>
      </c>
      <c r="F158" s="1" t="s">
        <v>186</v>
      </c>
      <c r="G158" s="8" t="s">
        <v>187</v>
      </c>
      <c r="H158" s="2" t="str">
        <f t="shared" si="7"/>
        <v>b58</v>
      </c>
      <c r="I158" s="8" t="s">
        <v>187</v>
      </c>
      <c r="N158" s="1"/>
      <c r="O158" s="1"/>
      <c r="P158" s="1"/>
      <c r="Q158" s="8"/>
    </row>
    <row r="159" spans="1:17" x14ac:dyDescent="0.2">
      <c r="A159" s="2">
        <v>94</v>
      </c>
      <c r="B159" s="1" t="str">
        <f t="shared" si="6"/>
        <v>CR721S.IN1300</v>
      </c>
      <c r="C159" s="1" t="s">
        <v>92</v>
      </c>
      <c r="D159" s="1" t="s">
        <v>125</v>
      </c>
      <c r="E159" s="1">
        <v>25</v>
      </c>
      <c r="F159" s="1" t="s">
        <v>186</v>
      </c>
      <c r="G159" s="8" t="s">
        <v>188</v>
      </c>
      <c r="H159" s="2" t="str">
        <f t="shared" si="7"/>
        <v>b25</v>
      </c>
      <c r="I159" s="8" t="s">
        <v>188</v>
      </c>
    </row>
    <row r="160" spans="1:17" x14ac:dyDescent="0.2">
      <c r="A160" s="2">
        <v>95</v>
      </c>
      <c r="B160" s="1" t="str">
        <f t="shared" si="6"/>
        <v>CR721S.IN1301</v>
      </c>
      <c r="C160" s="1" t="s">
        <v>92</v>
      </c>
      <c r="D160" s="1" t="s">
        <v>126</v>
      </c>
      <c r="E160" s="1">
        <v>26</v>
      </c>
      <c r="F160" s="1" t="s">
        <v>186</v>
      </c>
      <c r="G160" s="8" t="s">
        <v>188</v>
      </c>
      <c r="H160" s="2" t="str">
        <f t="shared" si="7"/>
        <v>b26</v>
      </c>
      <c r="I160" s="8" t="s">
        <v>188</v>
      </c>
    </row>
    <row r="161" spans="1:9" x14ac:dyDescent="0.2">
      <c r="A161" s="2">
        <v>96</v>
      </c>
      <c r="B161" s="1" t="str">
        <f t="shared" si="6"/>
        <v>CR721S.IN1302</v>
      </c>
      <c r="C161" s="1" t="s">
        <v>92</v>
      </c>
      <c r="D161" s="1" t="s">
        <v>127</v>
      </c>
      <c r="E161" s="1">
        <v>27</v>
      </c>
      <c r="F161" s="1" t="s">
        <v>186</v>
      </c>
      <c r="G161" s="8" t="s">
        <v>188</v>
      </c>
      <c r="H161" s="2" t="str">
        <f t="shared" si="7"/>
        <v>b27</v>
      </c>
      <c r="I161" s="8" t="s">
        <v>188</v>
      </c>
    </row>
    <row r="162" spans="1:9" x14ac:dyDescent="0.2">
      <c r="A162" s="2">
        <v>97</v>
      </c>
      <c r="B162" s="1" t="str">
        <f t="shared" ref="B162" si="8">_xlfn.CONCAT(C162,".",D162)</f>
        <v>CR721S.IN1303</v>
      </c>
      <c r="C162" s="1" t="s">
        <v>92</v>
      </c>
      <c r="D162" s="1" t="s">
        <v>128</v>
      </c>
      <c r="E162" s="1">
        <v>28</v>
      </c>
      <c r="F162" s="1" t="s">
        <v>186</v>
      </c>
      <c r="G162" s="8" t="s">
        <v>188</v>
      </c>
      <c r="H162" s="2" t="str">
        <f t="shared" si="7"/>
        <v>b28</v>
      </c>
      <c r="I162" s="8" t="s">
        <v>188</v>
      </c>
    </row>
    <row r="163" spans="1:9" x14ac:dyDescent="0.2">
      <c r="A163" s="2">
        <v>98</v>
      </c>
      <c r="B163" s="1" t="str">
        <f t="shared" ref="B163:B190" si="9">_xlfn.CONCAT(C163,".",D163)</f>
        <v>CR721S.OUT0300</v>
      </c>
      <c r="C163" s="1" t="s">
        <v>92</v>
      </c>
      <c r="D163" s="1" t="s">
        <v>129</v>
      </c>
      <c r="E163" s="1">
        <v>16</v>
      </c>
      <c r="F163" s="1" t="s">
        <v>186</v>
      </c>
      <c r="G163" s="8" t="s">
        <v>170</v>
      </c>
      <c r="H163" s="2" t="str">
        <f t="shared" si="7"/>
        <v>b16</v>
      </c>
      <c r="I163" s="8" t="s">
        <v>171</v>
      </c>
    </row>
    <row r="164" spans="1:9" x14ac:dyDescent="0.2">
      <c r="A164" s="2">
        <v>99</v>
      </c>
      <c r="B164" s="1" t="str">
        <f t="shared" si="9"/>
        <v>CR721S.OUT0301</v>
      </c>
      <c r="C164" s="1" t="s">
        <v>92</v>
      </c>
      <c r="D164" s="1" t="s">
        <v>130</v>
      </c>
      <c r="E164" s="1">
        <v>17</v>
      </c>
      <c r="F164" s="1" t="s">
        <v>186</v>
      </c>
      <c r="G164" s="8" t="s">
        <v>172</v>
      </c>
      <c r="H164" s="2" t="str">
        <f t="shared" si="7"/>
        <v>b17</v>
      </c>
      <c r="I164" s="8" t="s">
        <v>171</v>
      </c>
    </row>
    <row r="165" spans="1:9" x14ac:dyDescent="0.2">
      <c r="A165" s="2">
        <v>100</v>
      </c>
      <c r="B165" s="1" t="str">
        <f t="shared" si="9"/>
        <v>CR721S.OUT0302</v>
      </c>
      <c r="C165" s="1" t="s">
        <v>92</v>
      </c>
      <c r="D165" s="1" t="s">
        <v>131</v>
      </c>
      <c r="E165" s="1">
        <v>18</v>
      </c>
      <c r="F165" s="1" t="s">
        <v>186</v>
      </c>
      <c r="G165" s="8" t="s">
        <v>170</v>
      </c>
      <c r="H165" s="2" t="str">
        <f t="shared" si="7"/>
        <v>b18</v>
      </c>
      <c r="I165" s="8" t="s">
        <v>171</v>
      </c>
    </row>
    <row r="166" spans="1:9" x14ac:dyDescent="0.2">
      <c r="A166" s="2">
        <v>101</v>
      </c>
      <c r="B166" s="1" t="str">
        <f t="shared" si="9"/>
        <v>CR721S.OUT0303</v>
      </c>
      <c r="C166" s="1" t="s">
        <v>92</v>
      </c>
      <c r="D166" s="1" t="s">
        <v>132</v>
      </c>
      <c r="E166" s="1">
        <v>19</v>
      </c>
      <c r="F166" s="1" t="s">
        <v>186</v>
      </c>
      <c r="G166" s="8" t="s">
        <v>172</v>
      </c>
      <c r="H166" s="2" t="str">
        <f t="shared" si="7"/>
        <v>b19</v>
      </c>
      <c r="I166" s="8" t="s">
        <v>171</v>
      </c>
    </row>
    <row r="167" spans="1:9" x14ac:dyDescent="0.2">
      <c r="A167" s="2">
        <v>102</v>
      </c>
      <c r="B167" s="1" t="str">
        <f t="shared" si="9"/>
        <v>CR721S.OUT0304</v>
      </c>
      <c r="C167" s="1" t="s">
        <v>92</v>
      </c>
      <c r="D167" s="1" t="s">
        <v>133</v>
      </c>
      <c r="E167" s="1">
        <v>20</v>
      </c>
      <c r="F167" s="1" t="s">
        <v>186</v>
      </c>
      <c r="G167" s="8" t="s">
        <v>170</v>
      </c>
      <c r="H167" s="2" t="str">
        <f t="shared" si="7"/>
        <v>b20</v>
      </c>
      <c r="I167" s="8" t="s">
        <v>171</v>
      </c>
    </row>
    <row r="168" spans="1:9" x14ac:dyDescent="0.2">
      <c r="A168" s="2">
        <v>103</v>
      </c>
      <c r="B168" s="1" t="str">
        <f t="shared" si="9"/>
        <v>CR721S.OUT0305</v>
      </c>
      <c r="C168" s="1" t="s">
        <v>92</v>
      </c>
      <c r="D168" s="1" t="s">
        <v>134</v>
      </c>
      <c r="E168" s="1">
        <v>21</v>
      </c>
      <c r="F168" s="1" t="s">
        <v>186</v>
      </c>
      <c r="G168" s="8" t="s">
        <v>172</v>
      </c>
      <c r="H168" s="2" t="str">
        <f t="shared" si="7"/>
        <v>b21</v>
      </c>
      <c r="I168" s="8" t="s">
        <v>171</v>
      </c>
    </row>
    <row r="169" spans="1:9" x14ac:dyDescent="0.2">
      <c r="A169" s="2">
        <v>104</v>
      </c>
      <c r="B169" s="1" t="str">
        <f t="shared" si="9"/>
        <v>CR721S.OUT0306</v>
      </c>
      <c r="C169" s="1" t="s">
        <v>92</v>
      </c>
      <c r="D169" s="1" t="s">
        <v>135</v>
      </c>
      <c r="E169" s="1">
        <v>22</v>
      </c>
      <c r="F169" s="1" t="s">
        <v>186</v>
      </c>
      <c r="G169" s="8" t="s">
        <v>173</v>
      </c>
      <c r="H169" s="2" t="str">
        <f t="shared" si="7"/>
        <v>b22</v>
      </c>
      <c r="I169" s="8" t="s">
        <v>174</v>
      </c>
    </row>
    <row r="170" spans="1:9" x14ac:dyDescent="0.2">
      <c r="A170" s="2">
        <v>105</v>
      </c>
      <c r="B170" s="1" t="str">
        <f t="shared" si="9"/>
        <v>CR721S.OUT0307</v>
      </c>
      <c r="C170" s="1" t="s">
        <v>92</v>
      </c>
      <c r="D170" s="1" t="s">
        <v>136</v>
      </c>
      <c r="E170" s="1">
        <v>23</v>
      </c>
      <c r="F170" s="1" t="s">
        <v>186</v>
      </c>
      <c r="G170" s="8" t="s">
        <v>173</v>
      </c>
      <c r="H170" s="2" t="str">
        <f t="shared" si="7"/>
        <v>b23</v>
      </c>
      <c r="I170" s="8" t="s">
        <v>174</v>
      </c>
    </row>
    <row r="171" spans="1:9" x14ac:dyDescent="0.2">
      <c r="A171" s="2">
        <v>106</v>
      </c>
      <c r="B171" s="1" t="str">
        <f t="shared" si="9"/>
        <v>CR721S.OUT0308</v>
      </c>
      <c r="C171" s="1" t="s">
        <v>92</v>
      </c>
      <c r="D171" s="1" t="s">
        <v>137</v>
      </c>
      <c r="E171" s="1">
        <v>24</v>
      </c>
      <c r="F171" s="1" t="s">
        <v>186</v>
      </c>
      <c r="G171" s="8" t="s">
        <v>175</v>
      </c>
      <c r="H171" s="2" t="str">
        <f t="shared" si="7"/>
        <v>b24</v>
      </c>
      <c r="I171" s="8" t="s">
        <v>174</v>
      </c>
    </row>
    <row r="172" spans="1:9" x14ac:dyDescent="0.2">
      <c r="A172" s="2">
        <v>107</v>
      </c>
      <c r="B172" s="1" t="str">
        <f t="shared" si="9"/>
        <v>CR721S.OUT0400</v>
      </c>
      <c r="C172" s="1" t="s">
        <v>92</v>
      </c>
      <c r="D172" s="1" t="s">
        <v>139</v>
      </c>
      <c r="E172" s="1">
        <v>63</v>
      </c>
      <c r="F172" s="1" t="s">
        <v>186</v>
      </c>
      <c r="G172" s="8" t="s">
        <v>170</v>
      </c>
      <c r="H172" s="2" t="str">
        <f t="shared" si="7"/>
        <v>b63</v>
      </c>
      <c r="I172" s="8" t="s">
        <v>171</v>
      </c>
    </row>
    <row r="173" spans="1:9" x14ac:dyDescent="0.2">
      <c r="A173" s="2">
        <v>108</v>
      </c>
      <c r="B173" s="1" t="str">
        <f t="shared" si="9"/>
        <v>CR721S.OUT0401</v>
      </c>
      <c r="C173" s="1" t="s">
        <v>92</v>
      </c>
      <c r="D173" s="1" t="s">
        <v>140</v>
      </c>
      <c r="E173" s="1">
        <v>64</v>
      </c>
      <c r="F173" s="1" t="s">
        <v>186</v>
      </c>
      <c r="G173" s="8" t="s">
        <v>172</v>
      </c>
      <c r="H173" s="2" t="str">
        <f t="shared" si="7"/>
        <v>b64</v>
      </c>
      <c r="I173" s="8" t="s">
        <v>171</v>
      </c>
    </row>
    <row r="174" spans="1:9" x14ac:dyDescent="0.2">
      <c r="A174" s="2">
        <v>109</v>
      </c>
      <c r="B174" s="1" t="str">
        <f t="shared" si="9"/>
        <v>CR721S.OUT0402</v>
      </c>
      <c r="C174" s="1" t="s">
        <v>92</v>
      </c>
      <c r="D174" s="1" t="s">
        <v>141</v>
      </c>
      <c r="E174" s="1">
        <v>65</v>
      </c>
      <c r="F174" s="1" t="s">
        <v>186</v>
      </c>
      <c r="G174" s="8" t="s">
        <v>170</v>
      </c>
      <c r="H174" s="2" t="str">
        <f t="shared" si="7"/>
        <v>b65</v>
      </c>
      <c r="I174" s="8" t="s">
        <v>171</v>
      </c>
    </row>
    <row r="175" spans="1:9" x14ac:dyDescent="0.2">
      <c r="A175" s="2">
        <v>110</v>
      </c>
      <c r="B175" s="1" t="str">
        <f t="shared" si="9"/>
        <v>CR721S.OUT0403</v>
      </c>
      <c r="C175" s="1" t="s">
        <v>92</v>
      </c>
      <c r="D175" s="1" t="s">
        <v>142</v>
      </c>
      <c r="E175" s="1">
        <v>66</v>
      </c>
      <c r="F175" s="1" t="s">
        <v>186</v>
      </c>
      <c r="G175" s="8" t="s">
        <v>172</v>
      </c>
      <c r="H175" s="2" t="str">
        <f t="shared" si="7"/>
        <v>b66</v>
      </c>
      <c r="I175" s="8" t="s">
        <v>171</v>
      </c>
    </row>
    <row r="176" spans="1:9" x14ac:dyDescent="0.2">
      <c r="A176" s="2">
        <v>111</v>
      </c>
      <c r="B176" s="1" t="str">
        <f t="shared" si="9"/>
        <v>CR721S.OUT0404</v>
      </c>
      <c r="C176" s="1" t="s">
        <v>92</v>
      </c>
      <c r="D176" s="1" t="s">
        <v>143</v>
      </c>
      <c r="E176" s="1">
        <v>67</v>
      </c>
      <c r="F176" s="1" t="s">
        <v>186</v>
      </c>
      <c r="G176" s="8" t="s">
        <v>170</v>
      </c>
      <c r="H176" s="2" t="str">
        <f t="shared" si="7"/>
        <v>b67</v>
      </c>
      <c r="I176" s="8" t="s">
        <v>171</v>
      </c>
    </row>
    <row r="177" spans="1:9" x14ac:dyDescent="0.2">
      <c r="A177" s="2">
        <v>112</v>
      </c>
      <c r="B177" s="1" t="str">
        <f t="shared" si="9"/>
        <v>CR721S.OUT0405</v>
      </c>
      <c r="C177" s="1" t="s">
        <v>92</v>
      </c>
      <c r="D177" s="1" t="s">
        <v>144</v>
      </c>
      <c r="E177" s="1">
        <v>68</v>
      </c>
      <c r="F177" s="1" t="s">
        <v>186</v>
      </c>
      <c r="G177" s="8" t="s">
        <v>172</v>
      </c>
      <c r="H177" s="2" t="str">
        <f t="shared" si="7"/>
        <v>b68</v>
      </c>
      <c r="I177" s="8" t="s">
        <v>171</v>
      </c>
    </row>
    <row r="178" spans="1:9" x14ac:dyDescent="0.2">
      <c r="A178" s="2">
        <v>113</v>
      </c>
      <c r="B178" s="1" t="str">
        <f t="shared" si="9"/>
        <v>CR721S.OUT0406</v>
      </c>
      <c r="C178" s="1" t="s">
        <v>92</v>
      </c>
      <c r="D178" s="1" t="s">
        <v>145</v>
      </c>
      <c r="E178" s="1">
        <v>69</v>
      </c>
      <c r="F178" s="1" t="s">
        <v>186</v>
      </c>
      <c r="G178" s="8" t="s">
        <v>173</v>
      </c>
      <c r="H178" s="2" t="str">
        <f t="shared" si="7"/>
        <v>b69</v>
      </c>
      <c r="I178" s="8" t="s">
        <v>174</v>
      </c>
    </row>
    <row r="179" spans="1:9" x14ac:dyDescent="0.2">
      <c r="A179" s="2">
        <v>114</v>
      </c>
      <c r="B179" s="1" t="str">
        <f t="shared" si="9"/>
        <v>CR721S.OUT0407</v>
      </c>
      <c r="C179" s="1" t="s">
        <v>92</v>
      </c>
      <c r="D179" s="1" t="s">
        <v>146</v>
      </c>
      <c r="E179" s="1">
        <v>70</v>
      </c>
      <c r="F179" s="1" t="s">
        <v>186</v>
      </c>
      <c r="G179" s="8" t="s">
        <v>173</v>
      </c>
      <c r="H179" s="2" t="str">
        <f t="shared" si="7"/>
        <v>b70</v>
      </c>
      <c r="I179" s="8" t="s">
        <v>174</v>
      </c>
    </row>
    <row r="180" spans="1:9" x14ac:dyDescent="0.2">
      <c r="A180" s="2">
        <v>115</v>
      </c>
      <c r="B180" s="1" t="str">
        <f t="shared" si="9"/>
        <v>CR721S.OUT0408</v>
      </c>
      <c r="C180" s="1" t="s">
        <v>92</v>
      </c>
      <c r="D180" s="1" t="s">
        <v>147</v>
      </c>
      <c r="E180" s="1">
        <v>71</v>
      </c>
      <c r="F180" s="1" t="s">
        <v>186</v>
      </c>
      <c r="G180" s="8" t="s">
        <v>175</v>
      </c>
      <c r="H180" s="2" t="str">
        <f t="shared" si="7"/>
        <v>b71</v>
      </c>
      <c r="I180" s="8" t="s">
        <v>174</v>
      </c>
    </row>
    <row r="181" spans="1:9" x14ac:dyDescent="0.2">
      <c r="A181" s="2">
        <v>116</v>
      </c>
      <c r="B181" s="1" t="str">
        <f t="shared" si="9"/>
        <v>CR721S.OUT0500</v>
      </c>
      <c r="C181" s="1" t="s">
        <v>92</v>
      </c>
      <c r="D181" s="1" t="s">
        <v>149</v>
      </c>
      <c r="E181" s="1">
        <v>73</v>
      </c>
      <c r="F181" s="1" t="s">
        <v>186</v>
      </c>
      <c r="G181" s="8" t="s">
        <v>170</v>
      </c>
      <c r="H181" s="2" t="str">
        <f t="shared" si="7"/>
        <v>b73</v>
      </c>
      <c r="I181" s="8" t="s">
        <v>171</v>
      </c>
    </row>
    <row r="182" spans="1:9" x14ac:dyDescent="0.2">
      <c r="A182" s="2">
        <v>117</v>
      </c>
      <c r="B182" s="1" t="str">
        <f t="shared" si="9"/>
        <v>CR721S.OUT0501</v>
      </c>
      <c r="C182" s="1" t="s">
        <v>92</v>
      </c>
      <c r="D182" s="1" t="s">
        <v>150</v>
      </c>
      <c r="E182" s="1">
        <v>74</v>
      </c>
      <c r="F182" s="1" t="s">
        <v>186</v>
      </c>
      <c r="G182" s="8" t="s">
        <v>172</v>
      </c>
      <c r="H182" s="2" t="str">
        <f t="shared" si="7"/>
        <v>b74</v>
      </c>
      <c r="I182" s="8" t="s">
        <v>171</v>
      </c>
    </row>
    <row r="183" spans="1:9" x14ac:dyDescent="0.2">
      <c r="A183" s="2">
        <v>118</v>
      </c>
      <c r="B183" s="1" t="str">
        <f t="shared" si="9"/>
        <v>CR721S.OUT0502</v>
      </c>
      <c r="C183" s="1" t="s">
        <v>92</v>
      </c>
      <c r="D183" s="1" t="s">
        <v>151</v>
      </c>
      <c r="E183" s="1">
        <v>75</v>
      </c>
      <c r="F183" s="1" t="s">
        <v>186</v>
      </c>
      <c r="G183" s="8" t="s">
        <v>170</v>
      </c>
      <c r="H183" s="2" t="str">
        <f t="shared" si="7"/>
        <v>b75</v>
      </c>
      <c r="I183" s="8" t="s">
        <v>171</v>
      </c>
    </row>
    <row r="184" spans="1:9" x14ac:dyDescent="0.2">
      <c r="A184" s="2">
        <v>119</v>
      </c>
      <c r="B184" s="1" t="str">
        <f t="shared" si="9"/>
        <v>CR721S.OUT0503</v>
      </c>
      <c r="C184" s="1" t="s">
        <v>92</v>
      </c>
      <c r="D184" s="1" t="s">
        <v>152</v>
      </c>
      <c r="E184" s="1">
        <v>76</v>
      </c>
      <c r="F184" s="1" t="s">
        <v>186</v>
      </c>
      <c r="G184" s="8" t="s">
        <v>172</v>
      </c>
      <c r="H184" s="2" t="str">
        <f t="shared" si="7"/>
        <v>b76</v>
      </c>
      <c r="I184" s="8" t="s">
        <v>171</v>
      </c>
    </row>
    <row r="185" spans="1:9" x14ac:dyDescent="0.2">
      <c r="A185" s="2">
        <v>120</v>
      </c>
      <c r="B185" s="1" t="str">
        <f t="shared" si="9"/>
        <v>CR721S.OUT0504</v>
      </c>
      <c r="C185" s="1" t="s">
        <v>92</v>
      </c>
      <c r="D185" s="1" t="s">
        <v>153</v>
      </c>
      <c r="E185" s="1">
        <v>77</v>
      </c>
      <c r="F185" s="1" t="s">
        <v>186</v>
      </c>
      <c r="G185" s="8" t="s">
        <v>170</v>
      </c>
      <c r="H185" s="2" t="str">
        <f t="shared" si="7"/>
        <v>b77</v>
      </c>
      <c r="I185" s="8" t="s">
        <v>171</v>
      </c>
    </row>
    <row r="186" spans="1:9" x14ac:dyDescent="0.2">
      <c r="A186" s="2">
        <v>121</v>
      </c>
      <c r="B186" s="1" t="str">
        <f t="shared" si="9"/>
        <v>CR721S.OUT0505</v>
      </c>
      <c r="C186" s="1" t="s">
        <v>92</v>
      </c>
      <c r="D186" s="1" t="s">
        <v>154</v>
      </c>
      <c r="E186" s="1">
        <v>78</v>
      </c>
      <c r="F186" s="1" t="s">
        <v>186</v>
      </c>
      <c r="G186" s="8" t="s">
        <v>172</v>
      </c>
      <c r="H186" s="2" t="str">
        <f t="shared" si="7"/>
        <v>b78</v>
      </c>
      <c r="I186" s="8" t="s">
        <v>171</v>
      </c>
    </row>
    <row r="187" spans="1:9" x14ac:dyDescent="0.2">
      <c r="A187" s="2">
        <v>122</v>
      </c>
      <c r="B187" s="1" t="str">
        <f t="shared" si="9"/>
        <v>CR721S.OUT0506</v>
      </c>
      <c r="C187" s="1" t="s">
        <v>92</v>
      </c>
      <c r="D187" s="1" t="s">
        <v>155</v>
      </c>
      <c r="E187" s="1">
        <v>79</v>
      </c>
      <c r="F187" s="1" t="s">
        <v>186</v>
      </c>
      <c r="G187" s="8" t="s">
        <v>173</v>
      </c>
      <c r="H187" s="2" t="str">
        <f t="shared" si="7"/>
        <v>b79</v>
      </c>
      <c r="I187" s="8" t="s">
        <v>174</v>
      </c>
    </row>
    <row r="188" spans="1:9" x14ac:dyDescent="0.2">
      <c r="A188" s="2">
        <v>123</v>
      </c>
      <c r="B188" s="1" t="str">
        <f t="shared" si="9"/>
        <v>CR721S.OUT0507</v>
      </c>
      <c r="C188" s="1" t="s">
        <v>92</v>
      </c>
      <c r="D188" s="1" t="s">
        <v>156</v>
      </c>
      <c r="E188" s="1">
        <v>80</v>
      </c>
      <c r="F188" s="1" t="s">
        <v>186</v>
      </c>
      <c r="G188" s="8" t="s">
        <v>173</v>
      </c>
      <c r="H188" s="2" t="str">
        <f t="shared" si="7"/>
        <v>b80</v>
      </c>
      <c r="I188" s="8" t="s">
        <v>174</v>
      </c>
    </row>
    <row r="189" spans="1:9" x14ac:dyDescent="0.2">
      <c r="A189" s="2">
        <v>124</v>
      </c>
      <c r="B189" s="1" t="str">
        <f t="shared" si="9"/>
        <v>CR721S.OUT0508</v>
      </c>
      <c r="C189" s="1" t="s">
        <v>92</v>
      </c>
      <c r="D189" s="1" t="s">
        <v>157</v>
      </c>
      <c r="E189" s="1">
        <v>81</v>
      </c>
      <c r="F189" s="1" t="s">
        <v>186</v>
      </c>
      <c r="G189" s="8" t="s">
        <v>175</v>
      </c>
      <c r="H189" s="2" t="str">
        <f t="shared" si="7"/>
        <v>b81</v>
      </c>
      <c r="I189" s="8" t="s">
        <v>174</v>
      </c>
    </row>
    <row r="190" spans="1:9" x14ac:dyDescent="0.2">
      <c r="A190" s="2">
        <v>125</v>
      </c>
      <c r="B190" s="1" t="str">
        <f t="shared" si="9"/>
        <v>CR721S.OUT3002</v>
      </c>
      <c r="C190" s="1" t="s">
        <v>92</v>
      </c>
      <c r="D190" s="1" t="s">
        <v>159</v>
      </c>
      <c r="E190" s="1">
        <v>51</v>
      </c>
      <c r="F190" s="1" t="s">
        <v>186</v>
      </c>
      <c r="G190" s="8" t="s">
        <v>178</v>
      </c>
      <c r="H190" s="2" t="str">
        <f t="shared" si="7"/>
        <v>b51</v>
      </c>
      <c r="I190" s="8" t="s">
        <v>178</v>
      </c>
    </row>
    <row r="191" spans="1:9" x14ac:dyDescent="0.2">
      <c r="A191" s="2">
        <v>126</v>
      </c>
      <c r="B191" s="1" t="str">
        <f t="shared" ref="B191:B196" si="10">_xlfn.CONCAT(C191,".",D191)</f>
        <v>CR721S.GROUP0</v>
      </c>
      <c r="C191" s="1" t="s">
        <v>92</v>
      </c>
      <c r="D191" s="1" t="s">
        <v>65</v>
      </c>
      <c r="E191" s="1">
        <v>4</v>
      </c>
      <c r="F191" s="1" t="s">
        <v>165</v>
      </c>
      <c r="G191" s="8" t="s">
        <v>180</v>
      </c>
      <c r="H191" s="2" t="str">
        <f t="shared" si="7"/>
        <v>a4</v>
      </c>
      <c r="I191" s="8" t="s">
        <v>181</v>
      </c>
    </row>
    <row r="192" spans="1:9" x14ac:dyDescent="0.2">
      <c r="A192" s="2">
        <v>127</v>
      </c>
      <c r="B192" s="1" t="str">
        <f t="shared" si="10"/>
        <v>CR721S.GROUP1</v>
      </c>
      <c r="C192" s="1" t="s">
        <v>92</v>
      </c>
      <c r="D192" s="1" t="s">
        <v>77</v>
      </c>
      <c r="E192" s="1">
        <v>3</v>
      </c>
      <c r="F192" s="1" t="s">
        <v>165</v>
      </c>
      <c r="G192" s="8" t="s">
        <v>182</v>
      </c>
      <c r="H192" s="2" t="str">
        <f t="shared" si="7"/>
        <v>a3</v>
      </c>
      <c r="I192" s="8" t="s">
        <v>183</v>
      </c>
    </row>
    <row r="193" spans="1:9" x14ac:dyDescent="0.2">
      <c r="A193" s="2">
        <v>128</v>
      </c>
      <c r="B193" s="1" t="str">
        <f t="shared" si="10"/>
        <v>CR721S.GROUP2</v>
      </c>
      <c r="C193" s="1" t="s">
        <v>92</v>
      </c>
      <c r="D193" s="1" t="s">
        <v>87</v>
      </c>
      <c r="E193" s="1">
        <v>1</v>
      </c>
      <c r="F193" s="1" t="s">
        <v>165</v>
      </c>
      <c r="G193" s="8" t="s">
        <v>184</v>
      </c>
      <c r="H193" s="2" t="str">
        <f t="shared" si="7"/>
        <v>a1</v>
      </c>
      <c r="I193" s="8" t="s">
        <v>185</v>
      </c>
    </row>
    <row r="194" spans="1:9" x14ac:dyDescent="0.2">
      <c r="A194" s="2">
        <v>129</v>
      </c>
      <c r="B194" s="1" t="str">
        <f t="shared" si="10"/>
        <v>CR721S.GROUP3</v>
      </c>
      <c r="C194" s="1" t="s">
        <v>92</v>
      </c>
      <c r="D194" s="1" t="s">
        <v>138</v>
      </c>
      <c r="E194" s="1">
        <v>4</v>
      </c>
      <c r="F194" s="1" t="s">
        <v>186</v>
      </c>
      <c r="G194" s="8" t="s">
        <v>189</v>
      </c>
      <c r="H194" s="2" t="str">
        <f t="shared" si="7"/>
        <v>b4</v>
      </c>
      <c r="I194" s="8" t="s">
        <v>190</v>
      </c>
    </row>
    <row r="195" spans="1:9" x14ac:dyDescent="0.2">
      <c r="A195" s="2">
        <v>130</v>
      </c>
      <c r="B195" s="1" t="str">
        <f t="shared" si="10"/>
        <v>CR721S.GROUP4</v>
      </c>
      <c r="C195" s="1" t="s">
        <v>92</v>
      </c>
      <c r="D195" s="1" t="s">
        <v>148</v>
      </c>
      <c r="E195" s="1">
        <v>3</v>
      </c>
      <c r="F195" s="1" t="s">
        <v>186</v>
      </c>
      <c r="G195" s="8" t="s">
        <v>191</v>
      </c>
      <c r="H195" s="2" t="str">
        <f t="shared" ref="H195:H196" si="11">_xlfn.CONCAT(LOWER(F195),E195)</f>
        <v>b3</v>
      </c>
      <c r="I195" s="8" t="s">
        <v>192</v>
      </c>
    </row>
    <row r="196" spans="1:9" x14ac:dyDescent="0.2">
      <c r="A196" s="2">
        <v>131</v>
      </c>
      <c r="B196" s="1" t="str">
        <f t="shared" si="10"/>
        <v>CR721S.GROUP5</v>
      </c>
      <c r="C196" s="1" t="s">
        <v>92</v>
      </c>
      <c r="D196" s="1" t="s">
        <v>158</v>
      </c>
      <c r="E196" s="1">
        <v>1</v>
      </c>
      <c r="F196" s="1" t="s">
        <v>186</v>
      </c>
      <c r="G196" s="8" t="s">
        <v>193</v>
      </c>
      <c r="H196" s="2" t="str">
        <f t="shared" si="11"/>
        <v>b1</v>
      </c>
      <c r="I196" s="8" t="s">
        <v>194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88A-D53C-48FF-978F-7E496FB8AA8D}">
  <sheetPr filterMode="1"/>
  <dimension ref="A1:E90"/>
  <sheetViews>
    <sheetView tabSelected="1" zoomScaleNormal="100" workbookViewId="0">
      <selection activeCell="A90" sqref="A90"/>
    </sheetView>
  </sheetViews>
  <sheetFormatPr defaultRowHeight="15" x14ac:dyDescent="0.25"/>
  <cols>
    <col min="2" max="2" width="20.42578125" customWidth="1"/>
    <col min="3" max="3" width="71.42578125" customWidth="1"/>
    <col min="4" max="4" width="13.5703125" customWidth="1"/>
    <col min="5" max="5" width="136.5703125" customWidth="1"/>
  </cols>
  <sheetData>
    <row r="1" spans="1:5" s="34" customFormat="1" ht="21" x14ac:dyDescent="0.35">
      <c r="B1" s="34" t="s">
        <v>321</v>
      </c>
      <c r="C1" s="34" t="s">
        <v>322</v>
      </c>
      <c r="D1" s="34" t="s">
        <v>320</v>
      </c>
      <c r="E1" s="34" t="s">
        <v>362</v>
      </c>
    </row>
    <row r="2" spans="1:5" hidden="1" x14ac:dyDescent="0.25">
      <c r="A2">
        <v>1</v>
      </c>
      <c r="B2" t="s">
        <v>294</v>
      </c>
      <c r="C2" t="s">
        <v>295</v>
      </c>
      <c r="D2" t="s">
        <v>310</v>
      </c>
    </row>
    <row r="3" spans="1:5" hidden="1" x14ac:dyDescent="0.25">
      <c r="A3">
        <v>2</v>
      </c>
      <c r="B3" t="s">
        <v>294</v>
      </c>
      <c r="C3" t="s">
        <v>347</v>
      </c>
      <c r="D3" t="s">
        <v>311</v>
      </c>
    </row>
    <row r="4" spans="1:5" hidden="1" x14ac:dyDescent="0.25">
      <c r="A4">
        <v>3</v>
      </c>
      <c r="B4" t="s">
        <v>294</v>
      </c>
      <c r="C4" t="s">
        <v>345</v>
      </c>
      <c r="D4" t="s">
        <v>310</v>
      </c>
    </row>
    <row r="5" spans="1:5" hidden="1" x14ac:dyDescent="0.25">
      <c r="A5">
        <v>4</v>
      </c>
      <c r="B5" t="s">
        <v>294</v>
      </c>
      <c r="C5" t="s">
        <v>342</v>
      </c>
      <c r="D5" t="s">
        <v>375</v>
      </c>
    </row>
    <row r="6" spans="1:5" hidden="1" x14ac:dyDescent="0.25">
      <c r="A6">
        <v>5</v>
      </c>
      <c r="B6" t="s">
        <v>294</v>
      </c>
      <c r="C6" t="s">
        <v>346</v>
      </c>
      <c r="D6" t="s">
        <v>375</v>
      </c>
      <c r="E6" t="s">
        <v>344</v>
      </c>
    </row>
    <row r="7" spans="1:5" hidden="1" x14ac:dyDescent="0.25">
      <c r="A7">
        <v>6</v>
      </c>
      <c r="B7" s="33" t="s">
        <v>363</v>
      </c>
      <c r="C7" s="33" t="s">
        <v>281</v>
      </c>
      <c r="D7" t="s">
        <v>310</v>
      </c>
    </row>
    <row r="8" spans="1:5" hidden="1" x14ac:dyDescent="0.25">
      <c r="A8">
        <v>7</v>
      </c>
      <c r="B8" t="s">
        <v>278</v>
      </c>
      <c r="C8" t="s">
        <v>263</v>
      </c>
      <c r="D8" t="s">
        <v>310</v>
      </c>
    </row>
    <row r="9" spans="1:5" hidden="1" x14ac:dyDescent="0.25">
      <c r="A9">
        <v>8</v>
      </c>
      <c r="B9" t="s">
        <v>278</v>
      </c>
      <c r="C9" t="s">
        <v>297</v>
      </c>
      <c r="D9" t="s">
        <v>310</v>
      </c>
    </row>
    <row r="10" spans="1:5" hidden="1" x14ac:dyDescent="0.25">
      <c r="A10">
        <v>9</v>
      </c>
      <c r="B10" t="s">
        <v>278</v>
      </c>
      <c r="C10" t="s">
        <v>296</v>
      </c>
      <c r="D10" t="s">
        <v>310</v>
      </c>
    </row>
    <row r="11" spans="1:5" hidden="1" x14ac:dyDescent="0.25">
      <c r="A11">
        <v>10</v>
      </c>
      <c r="B11" t="s">
        <v>278</v>
      </c>
      <c r="C11" t="s">
        <v>264</v>
      </c>
      <c r="D11" t="s">
        <v>310</v>
      </c>
    </row>
    <row r="12" spans="1:5" hidden="1" x14ac:dyDescent="0.25">
      <c r="A12">
        <v>11</v>
      </c>
      <c r="B12" t="s">
        <v>278</v>
      </c>
      <c r="C12" t="s">
        <v>279</v>
      </c>
      <c r="D12" t="s">
        <v>310</v>
      </c>
    </row>
    <row r="13" spans="1:5" hidden="1" x14ac:dyDescent="0.25">
      <c r="A13">
        <v>12</v>
      </c>
      <c r="B13" t="s">
        <v>278</v>
      </c>
      <c r="C13" t="s">
        <v>280</v>
      </c>
      <c r="D13" t="s">
        <v>310</v>
      </c>
    </row>
    <row r="14" spans="1:5" hidden="1" x14ac:dyDescent="0.25">
      <c r="A14">
        <v>13</v>
      </c>
      <c r="B14" t="s">
        <v>278</v>
      </c>
      <c r="C14" t="s">
        <v>282</v>
      </c>
      <c r="D14" t="s">
        <v>311</v>
      </c>
    </row>
    <row r="15" spans="1:5" hidden="1" x14ac:dyDescent="0.25">
      <c r="A15">
        <v>14</v>
      </c>
      <c r="B15" t="s">
        <v>278</v>
      </c>
      <c r="C15" t="s">
        <v>302</v>
      </c>
      <c r="D15" t="s">
        <v>310</v>
      </c>
    </row>
    <row r="16" spans="1:5" hidden="1" x14ac:dyDescent="0.25">
      <c r="A16">
        <v>15</v>
      </c>
      <c r="B16" t="s">
        <v>283</v>
      </c>
      <c r="C16" t="s">
        <v>341</v>
      </c>
      <c r="D16" t="s">
        <v>310</v>
      </c>
    </row>
    <row r="17" spans="1:5" hidden="1" x14ac:dyDescent="0.25">
      <c r="A17">
        <v>16</v>
      </c>
      <c r="B17" s="33" t="s">
        <v>294</v>
      </c>
      <c r="C17" s="33" t="s">
        <v>343</v>
      </c>
      <c r="D17" t="s">
        <v>310</v>
      </c>
    </row>
    <row r="18" spans="1:5" hidden="1" x14ac:dyDescent="0.25">
      <c r="A18">
        <v>17</v>
      </c>
      <c r="B18" t="s">
        <v>284</v>
      </c>
      <c r="C18" t="s">
        <v>265</v>
      </c>
      <c r="D18" t="s">
        <v>310</v>
      </c>
    </row>
    <row r="19" spans="1:5" hidden="1" x14ac:dyDescent="0.25">
      <c r="A19">
        <v>18</v>
      </c>
      <c r="B19" t="s">
        <v>294</v>
      </c>
      <c r="C19" t="s">
        <v>361</v>
      </c>
      <c r="D19" t="s">
        <v>310</v>
      </c>
      <c r="E19" t="s">
        <v>376</v>
      </c>
    </row>
    <row r="20" spans="1:5" hidden="1" x14ac:dyDescent="0.25">
      <c r="A20">
        <v>19</v>
      </c>
      <c r="B20" t="s">
        <v>285</v>
      </c>
      <c r="C20" t="s">
        <v>276</v>
      </c>
      <c r="D20" t="s">
        <v>310</v>
      </c>
    </row>
    <row r="21" spans="1:5" hidden="1" x14ac:dyDescent="0.25">
      <c r="A21">
        <v>20</v>
      </c>
      <c r="B21" t="s">
        <v>285</v>
      </c>
      <c r="C21" t="s">
        <v>266</v>
      </c>
      <c r="D21" t="s">
        <v>310</v>
      </c>
    </row>
    <row r="22" spans="1:5" hidden="1" x14ac:dyDescent="0.25">
      <c r="A22">
        <v>21</v>
      </c>
      <c r="B22" t="s">
        <v>285</v>
      </c>
      <c r="C22" t="s">
        <v>267</v>
      </c>
      <c r="D22" t="s">
        <v>311</v>
      </c>
    </row>
    <row r="23" spans="1:5" hidden="1" x14ac:dyDescent="0.25">
      <c r="A23">
        <v>22</v>
      </c>
      <c r="B23" t="s">
        <v>294</v>
      </c>
      <c r="C23" t="s">
        <v>304</v>
      </c>
      <c r="D23" t="s">
        <v>310</v>
      </c>
      <c r="E23" t="s">
        <v>350</v>
      </c>
    </row>
    <row r="24" spans="1:5" hidden="1" x14ac:dyDescent="0.25">
      <c r="A24">
        <v>23</v>
      </c>
      <c r="B24" t="s">
        <v>286</v>
      </c>
      <c r="C24" t="s">
        <v>277</v>
      </c>
      <c r="D24" t="s">
        <v>311</v>
      </c>
    </row>
    <row r="25" spans="1:5" hidden="1" x14ac:dyDescent="0.25">
      <c r="A25">
        <v>24</v>
      </c>
      <c r="B25" t="s">
        <v>286</v>
      </c>
      <c r="C25" t="s">
        <v>287</v>
      </c>
      <c r="D25" t="s">
        <v>311</v>
      </c>
    </row>
    <row r="26" spans="1:5" hidden="1" x14ac:dyDescent="0.25">
      <c r="A26">
        <v>25</v>
      </c>
      <c r="B26" t="s">
        <v>293</v>
      </c>
      <c r="C26" t="s">
        <v>268</v>
      </c>
      <c r="D26" t="s">
        <v>310</v>
      </c>
    </row>
    <row r="27" spans="1:5" hidden="1" x14ac:dyDescent="0.25">
      <c r="A27">
        <v>26</v>
      </c>
      <c r="B27" t="s">
        <v>293</v>
      </c>
      <c r="C27" t="s">
        <v>269</v>
      </c>
      <c r="D27" t="s">
        <v>310</v>
      </c>
    </row>
    <row r="28" spans="1:5" hidden="1" x14ac:dyDescent="0.25">
      <c r="A28">
        <v>27</v>
      </c>
      <c r="B28" t="s">
        <v>288</v>
      </c>
      <c r="C28" t="s">
        <v>289</v>
      </c>
      <c r="D28" t="s">
        <v>310</v>
      </c>
      <c r="E28" t="s">
        <v>358</v>
      </c>
    </row>
    <row r="29" spans="1:5" hidden="1" x14ac:dyDescent="0.25">
      <c r="A29">
        <v>28</v>
      </c>
      <c r="B29" t="s">
        <v>290</v>
      </c>
      <c r="C29" t="s">
        <v>291</v>
      </c>
      <c r="D29" t="s">
        <v>310</v>
      </c>
    </row>
    <row r="30" spans="1:5" hidden="1" x14ac:dyDescent="0.25">
      <c r="A30">
        <v>29</v>
      </c>
      <c r="B30" t="s">
        <v>290</v>
      </c>
      <c r="C30" t="s">
        <v>292</v>
      </c>
      <c r="D30" t="s">
        <v>310</v>
      </c>
      <c r="E30" t="s">
        <v>583</v>
      </c>
    </row>
    <row r="31" spans="1:5" hidden="1" x14ac:dyDescent="0.25">
      <c r="A31">
        <v>30</v>
      </c>
      <c r="B31" t="s">
        <v>290</v>
      </c>
      <c r="C31" t="s">
        <v>395</v>
      </c>
      <c r="D31" t="s">
        <v>310</v>
      </c>
      <c r="E31" t="s">
        <v>396</v>
      </c>
    </row>
    <row r="32" spans="1:5" hidden="1" x14ac:dyDescent="0.25">
      <c r="A32">
        <v>31</v>
      </c>
      <c r="B32" t="s">
        <v>298</v>
      </c>
      <c r="C32" t="s">
        <v>299</v>
      </c>
      <c r="D32" t="s">
        <v>310</v>
      </c>
    </row>
    <row r="33" spans="1:5" s="33" customFormat="1" hidden="1" x14ac:dyDescent="0.25">
      <c r="A33">
        <v>32</v>
      </c>
      <c r="B33" s="33" t="s">
        <v>300</v>
      </c>
      <c r="C33" s="33" t="s">
        <v>301</v>
      </c>
      <c r="D33" s="33" t="s">
        <v>310</v>
      </c>
      <c r="E33" s="33" t="s">
        <v>359</v>
      </c>
    </row>
    <row r="34" spans="1:5" hidden="1" x14ac:dyDescent="0.25">
      <c r="A34">
        <v>33</v>
      </c>
      <c r="B34" t="s">
        <v>303</v>
      </c>
      <c r="C34" t="s">
        <v>360</v>
      </c>
      <c r="D34" t="s">
        <v>310</v>
      </c>
      <c r="E34" t="s">
        <v>397</v>
      </c>
    </row>
    <row r="35" spans="1:5" hidden="1" x14ac:dyDescent="0.25">
      <c r="A35">
        <v>34</v>
      </c>
      <c r="B35" t="s">
        <v>294</v>
      </c>
      <c r="C35" t="s">
        <v>304</v>
      </c>
      <c r="D35" t="s">
        <v>310</v>
      </c>
      <c r="E35" t="s">
        <v>350</v>
      </c>
    </row>
    <row r="36" spans="1:5" hidden="1" x14ac:dyDescent="0.25">
      <c r="A36">
        <v>35</v>
      </c>
      <c r="B36" t="s">
        <v>305</v>
      </c>
      <c r="C36" t="s">
        <v>312</v>
      </c>
      <c r="D36" t="s">
        <v>311</v>
      </c>
    </row>
    <row r="37" spans="1:5" hidden="1" x14ac:dyDescent="0.25">
      <c r="A37">
        <v>36</v>
      </c>
      <c r="B37" t="s">
        <v>307</v>
      </c>
      <c r="C37" t="s">
        <v>306</v>
      </c>
      <c r="D37" t="s">
        <v>375</v>
      </c>
    </row>
    <row r="38" spans="1:5" hidden="1" x14ac:dyDescent="0.25">
      <c r="A38">
        <v>37</v>
      </c>
      <c r="B38" t="s">
        <v>308</v>
      </c>
      <c r="C38" t="s">
        <v>309</v>
      </c>
      <c r="D38" t="s">
        <v>310</v>
      </c>
    </row>
    <row r="39" spans="1:5" hidden="1" x14ac:dyDescent="0.25">
      <c r="A39">
        <v>38</v>
      </c>
      <c r="B39" t="s">
        <v>313</v>
      </c>
      <c r="C39" t="s">
        <v>314</v>
      </c>
      <c r="D39" t="s">
        <v>310</v>
      </c>
      <c r="E39" t="s">
        <v>316</v>
      </c>
    </row>
    <row r="40" spans="1:5" hidden="1" x14ac:dyDescent="0.25">
      <c r="A40">
        <v>39</v>
      </c>
      <c r="B40" t="s">
        <v>313</v>
      </c>
      <c r="C40" t="s">
        <v>315</v>
      </c>
      <c r="D40" t="s">
        <v>310</v>
      </c>
      <c r="E40" t="s">
        <v>316</v>
      </c>
    </row>
    <row r="41" spans="1:5" hidden="1" x14ac:dyDescent="0.25">
      <c r="A41">
        <v>40</v>
      </c>
      <c r="B41" t="s">
        <v>317</v>
      </c>
      <c r="C41" t="s">
        <v>318</v>
      </c>
      <c r="D41" t="s">
        <v>310</v>
      </c>
    </row>
    <row r="42" spans="1:5" hidden="1" x14ac:dyDescent="0.25">
      <c r="A42">
        <v>41</v>
      </c>
      <c r="B42" t="s">
        <v>348</v>
      </c>
      <c r="C42" t="s">
        <v>349</v>
      </c>
      <c r="D42" t="s">
        <v>310</v>
      </c>
    </row>
    <row r="43" spans="1:5" x14ac:dyDescent="0.25">
      <c r="A43">
        <v>42</v>
      </c>
      <c r="B43" t="s">
        <v>317</v>
      </c>
      <c r="C43" t="s">
        <v>351</v>
      </c>
      <c r="E43" t="s">
        <v>938</v>
      </c>
    </row>
    <row r="44" spans="1:5" hidden="1" x14ac:dyDescent="0.25">
      <c r="A44">
        <v>43</v>
      </c>
      <c r="B44" t="s">
        <v>288</v>
      </c>
      <c r="C44" t="s">
        <v>357</v>
      </c>
      <c r="D44" t="s">
        <v>310</v>
      </c>
    </row>
    <row r="45" spans="1:5" hidden="1" x14ac:dyDescent="0.25">
      <c r="A45">
        <v>44</v>
      </c>
      <c r="B45" t="s">
        <v>352</v>
      </c>
      <c r="C45" t="s">
        <v>353</v>
      </c>
      <c r="D45" t="s">
        <v>375</v>
      </c>
      <c r="E45" t="s">
        <v>354</v>
      </c>
    </row>
    <row r="46" spans="1:5" hidden="1" x14ac:dyDescent="0.25">
      <c r="A46">
        <v>45</v>
      </c>
      <c r="B46" t="s">
        <v>355</v>
      </c>
      <c r="C46" t="s">
        <v>356</v>
      </c>
      <c r="D46" t="s">
        <v>310</v>
      </c>
    </row>
    <row r="47" spans="1:5" hidden="1" x14ac:dyDescent="0.25">
      <c r="A47">
        <v>46</v>
      </c>
      <c r="B47" t="s">
        <v>364</v>
      </c>
      <c r="C47" t="s">
        <v>365</v>
      </c>
      <c r="D47" t="s">
        <v>375</v>
      </c>
    </row>
    <row r="48" spans="1:5" hidden="1" x14ac:dyDescent="0.25">
      <c r="A48">
        <v>47</v>
      </c>
      <c r="B48" t="s">
        <v>288</v>
      </c>
      <c r="C48" t="s">
        <v>366</v>
      </c>
      <c r="D48" t="s">
        <v>310</v>
      </c>
    </row>
    <row r="49" spans="1:5" hidden="1" x14ac:dyDescent="0.25">
      <c r="A49">
        <v>48</v>
      </c>
      <c r="B49" t="s">
        <v>367</v>
      </c>
      <c r="C49" t="s">
        <v>368</v>
      </c>
      <c r="D49" t="s">
        <v>310</v>
      </c>
    </row>
    <row r="50" spans="1:5" hidden="1" x14ac:dyDescent="0.25">
      <c r="A50">
        <v>49</v>
      </c>
      <c r="B50" t="s">
        <v>288</v>
      </c>
      <c r="C50" t="s">
        <v>377</v>
      </c>
      <c r="D50" t="s">
        <v>375</v>
      </c>
      <c r="E50" t="s">
        <v>401</v>
      </c>
    </row>
    <row r="51" spans="1:5" hidden="1" x14ac:dyDescent="0.25">
      <c r="A51">
        <v>50</v>
      </c>
      <c r="B51" t="s">
        <v>371</v>
      </c>
      <c r="C51" t="s">
        <v>370</v>
      </c>
      <c r="D51" t="s">
        <v>310</v>
      </c>
    </row>
    <row r="52" spans="1:5" hidden="1" x14ac:dyDescent="0.25">
      <c r="A52">
        <v>51</v>
      </c>
      <c r="B52" s="33" t="s">
        <v>371</v>
      </c>
      <c r="C52" s="33" t="s">
        <v>369</v>
      </c>
      <c r="D52" s="33" t="s">
        <v>310</v>
      </c>
      <c r="E52" s="33" t="s">
        <v>383</v>
      </c>
    </row>
    <row r="53" spans="1:5" hidden="1" x14ac:dyDescent="0.25">
      <c r="A53">
        <v>52</v>
      </c>
      <c r="B53" t="s">
        <v>371</v>
      </c>
      <c r="C53" t="s">
        <v>378</v>
      </c>
      <c r="D53" t="s">
        <v>375</v>
      </c>
    </row>
    <row r="54" spans="1:5" hidden="1" x14ac:dyDescent="0.25">
      <c r="A54">
        <v>53</v>
      </c>
      <c r="B54" t="s">
        <v>371</v>
      </c>
      <c r="C54" t="s">
        <v>372</v>
      </c>
      <c r="D54" t="s">
        <v>375</v>
      </c>
    </row>
    <row r="55" spans="1:5" hidden="1" x14ac:dyDescent="0.25">
      <c r="A55">
        <v>54</v>
      </c>
      <c r="B55" t="s">
        <v>363</v>
      </c>
      <c r="C55" t="s">
        <v>373</v>
      </c>
      <c r="D55" t="s">
        <v>310</v>
      </c>
    </row>
    <row r="56" spans="1:5" hidden="1" x14ac:dyDescent="0.25">
      <c r="A56">
        <v>55</v>
      </c>
      <c r="B56" t="s">
        <v>363</v>
      </c>
      <c r="C56" t="s">
        <v>374</v>
      </c>
      <c r="D56" t="s">
        <v>375</v>
      </c>
    </row>
    <row r="57" spans="1:5" x14ac:dyDescent="0.25">
      <c r="A57">
        <v>56</v>
      </c>
      <c r="B57" t="s">
        <v>382</v>
      </c>
      <c r="C57" t="s">
        <v>379</v>
      </c>
    </row>
    <row r="58" spans="1:5" hidden="1" x14ac:dyDescent="0.25">
      <c r="A58">
        <v>57</v>
      </c>
      <c r="B58" t="s">
        <v>381</v>
      </c>
      <c r="C58" t="s">
        <v>380</v>
      </c>
      <c r="D58" t="s">
        <v>310</v>
      </c>
    </row>
    <row r="59" spans="1:5" hidden="1" x14ac:dyDescent="0.25">
      <c r="A59">
        <v>58</v>
      </c>
      <c r="B59" t="s">
        <v>386</v>
      </c>
      <c r="C59" t="s">
        <v>384</v>
      </c>
      <c r="D59" t="s">
        <v>310</v>
      </c>
      <c r="E59" t="s">
        <v>385</v>
      </c>
    </row>
    <row r="60" spans="1:5" hidden="1" x14ac:dyDescent="0.25">
      <c r="A60">
        <v>59</v>
      </c>
      <c r="B60" t="s">
        <v>386</v>
      </c>
      <c r="C60" t="s">
        <v>537</v>
      </c>
      <c r="D60" t="s">
        <v>310</v>
      </c>
    </row>
    <row r="61" spans="1:5" hidden="1" x14ac:dyDescent="0.25">
      <c r="A61">
        <v>60</v>
      </c>
      <c r="B61" t="s">
        <v>317</v>
      </c>
      <c r="C61" t="s">
        <v>387</v>
      </c>
      <c r="D61" t="s">
        <v>310</v>
      </c>
    </row>
    <row r="62" spans="1:5" hidden="1" x14ac:dyDescent="0.25">
      <c r="A62">
        <v>61</v>
      </c>
      <c r="B62" t="s">
        <v>392</v>
      </c>
      <c r="C62" t="s">
        <v>388</v>
      </c>
      <c r="D62" t="s">
        <v>310</v>
      </c>
    </row>
    <row r="63" spans="1:5" hidden="1" x14ac:dyDescent="0.25">
      <c r="A63">
        <v>62</v>
      </c>
      <c r="B63" t="s">
        <v>288</v>
      </c>
      <c r="C63" t="s">
        <v>389</v>
      </c>
      <c r="D63" t="s">
        <v>375</v>
      </c>
    </row>
    <row r="64" spans="1:5" hidden="1" x14ac:dyDescent="0.25">
      <c r="A64">
        <v>63</v>
      </c>
      <c r="B64" t="s">
        <v>587</v>
      </c>
      <c r="C64" t="s">
        <v>393</v>
      </c>
      <c r="D64" t="s">
        <v>310</v>
      </c>
      <c r="E64" s="33" t="s">
        <v>584</v>
      </c>
    </row>
    <row r="65" spans="1:5" hidden="1" x14ac:dyDescent="0.25">
      <c r="A65">
        <v>64</v>
      </c>
      <c r="B65" t="s">
        <v>390</v>
      </c>
      <c r="C65" t="s">
        <v>391</v>
      </c>
      <c r="D65" t="s">
        <v>311</v>
      </c>
      <c r="E65" t="s">
        <v>585</v>
      </c>
    </row>
    <row r="66" spans="1:5" hidden="1" x14ac:dyDescent="0.25">
      <c r="A66">
        <v>65</v>
      </c>
      <c r="B66" t="s">
        <v>390</v>
      </c>
      <c r="C66" t="s">
        <v>394</v>
      </c>
      <c r="D66" t="s">
        <v>310</v>
      </c>
    </row>
    <row r="67" spans="1:5" hidden="1" x14ac:dyDescent="0.25">
      <c r="A67">
        <v>66</v>
      </c>
      <c r="B67" t="s">
        <v>288</v>
      </c>
      <c r="C67" t="s">
        <v>399</v>
      </c>
      <c r="D67" t="s">
        <v>375</v>
      </c>
      <c r="E67" t="s">
        <v>400</v>
      </c>
    </row>
    <row r="68" spans="1:5" hidden="1" x14ac:dyDescent="0.25">
      <c r="A68">
        <v>67</v>
      </c>
      <c r="B68" t="s">
        <v>288</v>
      </c>
      <c r="C68" t="s">
        <v>398</v>
      </c>
      <c r="D68" t="s">
        <v>375</v>
      </c>
    </row>
    <row r="69" spans="1:5" hidden="1" x14ac:dyDescent="0.25">
      <c r="A69">
        <v>68</v>
      </c>
      <c r="B69" t="s">
        <v>538</v>
      </c>
      <c r="C69" t="s">
        <v>539</v>
      </c>
      <c r="D69" t="s">
        <v>310</v>
      </c>
      <c r="E69" t="s">
        <v>540</v>
      </c>
    </row>
    <row r="70" spans="1:5" hidden="1" x14ac:dyDescent="0.25">
      <c r="A70">
        <v>69</v>
      </c>
      <c r="B70" t="s">
        <v>294</v>
      </c>
      <c r="C70" t="s">
        <v>541</v>
      </c>
      <c r="D70" t="s">
        <v>310</v>
      </c>
    </row>
    <row r="71" spans="1:5" hidden="1" x14ac:dyDescent="0.25">
      <c r="A71">
        <v>70</v>
      </c>
      <c r="B71" t="s">
        <v>550</v>
      </c>
      <c r="C71" t="s">
        <v>547</v>
      </c>
      <c r="D71" t="s">
        <v>310</v>
      </c>
    </row>
    <row r="72" spans="1:5" x14ac:dyDescent="0.25">
      <c r="A72">
        <v>71</v>
      </c>
      <c r="B72" t="s">
        <v>294</v>
      </c>
      <c r="C72" t="s">
        <v>567</v>
      </c>
      <c r="E72" t="s">
        <v>570</v>
      </c>
    </row>
    <row r="73" spans="1:5" x14ac:dyDescent="0.25">
      <c r="A73">
        <v>72</v>
      </c>
      <c r="B73" t="s">
        <v>294</v>
      </c>
      <c r="C73" t="s">
        <v>586</v>
      </c>
    </row>
    <row r="74" spans="1:5" x14ac:dyDescent="0.25">
      <c r="A74">
        <v>73</v>
      </c>
      <c r="B74" t="s">
        <v>294</v>
      </c>
      <c r="C74" t="s">
        <v>571</v>
      </c>
      <c r="E74" t="s">
        <v>572</v>
      </c>
    </row>
    <row r="75" spans="1:5" hidden="1" x14ac:dyDescent="0.25">
      <c r="A75">
        <v>74</v>
      </c>
      <c r="B75" t="s">
        <v>569</v>
      </c>
      <c r="C75" t="s">
        <v>565</v>
      </c>
      <c r="D75" t="s">
        <v>310</v>
      </c>
    </row>
    <row r="76" spans="1:5" hidden="1" x14ac:dyDescent="0.25">
      <c r="A76">
        <v>75</v>
      </c>
      <c r="B76" t="s">
        <v>569</v>
      </c>
      <c r="C76" t="s">
        <v>566</v>
      </c>
      <c r="D76" t="s">
        <v>310</v>
      </c>
    </row>
    <row r="77" spans="1:5" x14ac:dyDescent="0.25">
      <c r="A77">
        <v>76</v>
      </c>
      <c r="B77" t="s">
        <v>551</v>
      </c>
      <c r="C77" t="s">
        <v>552</v>
      </c>
      <c r="E77" t="s">
        <v>568</v>
      </c>
    </row>
    <row r="78" spans="1:5" hidden="1" x14ac:dyDescent="0.25">
      <c r="A78">
        <v>77</v>
      </c>
      <c r="B78" t="s">
        <v>551</v>
      </c>
      <c r="C78" t="s">
        <v>553</v>
      </c>
      <c r="D78" t="s">
        <v>310</v>
      </c>
    </row>
    <row r="79" spans="1:5" x14ac:dyDescent="0.25">
      <c r="A79">
        <v>78</v>
      </c>
      <c r="B79" t="s">
        <v>290</v>
      </c>
      <c r="C79" t="s">
        <v>932</v>
      </c>
    </row>
    <row r="80" spans="1:5" hidden="1" x14ac:dyDescent="0.25">
      <c r="A80">
        <v>79</v>
      </c>
      <c r="B80" t="s">
        <v>554</v>
      </c>
      <c r="C80" t="s">
        <v>555</v>
      </c>
      <c r="D80" t="s">
        <v>310</v>
      </c>
    </row>
    <row r="81" spans="1:5" hidden="1" x14ac:dyDescent="0.25">
      <c r="A81">
        <v>80</v>
      </c>
      <c r="B81" t="s">
        <v>551</v>
      </c>
      <c r="C81" t="s">
        <v>578</v>
      </c>
      <c r="D81" t="s">
        <v>310</v>
      </c>
    </row>
    <row r="82" spans="1:5" x14ac:dyDescent="0.25">
      <c r="A82">
        <v>81</v>
      </c>
      <c r="B82" t="s">
        <v>288</v>
      </c>
      <c r="C82" t="s">
        <v>933</v>
      </c>
      <c r="E82" t="s">
        <v>934</v>
      </c>
    </row>
    <row r="83" spans="1:5" x14ac:dyDescent="0.25">
      <c r="A83">
        <v>82</v>
      </c>
      <c r="B83" t="s">
        <v>569</v>
      </c>
      <c r="C83" t="s">
        <v>937</v>
      </c>
      <c r="E83" t="s">
        <v>935</v>
      </c>
    </row>
    <row r="84" spans="1:5" hidden="1" x14ac:dyDescent="0.25">
      <c r="A84">
        <v>83</v>
      </c>
      <c r="B84" t="s">
        <v>288</v>
      </c>
      <c r="C84" t="s">
        <v>582</v>
      </c>
      <c r="D84" t="s">
        <v>310</v>
      </c>
    </row>
    <row r="85" spans="1:5" hidden="1" x14ac:dyDescent="0.25">
      <c r="A85">
        <v>84</v>
      </c>
      <c r="B85" t="s">
        <v>288</v>
      </c>
      <c r="C85" t="s">
        <v>579</v>
      </c>
      <c r="D85" t="s">
        <v>310</v>
      </c>
    </row>
    <row r="86" spans="1:5" hidden="1" x14ac:dyDescent="0.25">
      <c r="A86">
        <v>85</v>
      </c>
      <c r="B86" t="s">
        <v>587</v>
      </c>
      <c r="C86" t="s">
        <v>580</v>
      </c>
      <c r="D86" t="s">
        <v>310</v>
      </c>
    </row>
    <row r="87" spans="1:5" hidden="1" x14ac:dyDescent="0.25">
      <c r="A87">
        <v>86</v>
      </c>
      <c r="B87" t="s">
        <v>587</v>
      </c>
      <c r="C87" t="s">
        <v>581</v>
      </c>
      <c r="D87" t="s">
        <v>310</v>
      </c>
    </row>
    <row r="88" spans="1:5" hidden="1" x14ac:dyDescent="0.25">
      <c r="A88">
        <v>87</v>
      </c>
      <c r="B88" t="s">
        <v>390</v>
      </c>
      <c r="C88" t="s">
        <v>903</v>
      </c>
      <c r="D88" t="s">
        <v>310</v>
      </c>
    </row>
    <row r="89" spans="1:5" s="33" customFormat="1" x14ac:dyDescent="0.25">
      <c r="A89">
        <v>88</v>
      </c>
      <c r="B89" s="33" t="s">
        <v>294</v>
      </c>
      <c r="C89" s="33" t="s">
        <v>904</v>
      </c>
      <c r="E89" s="33" t="s">
        <v>936</v>
      </c>
    </row>
    <row r="90" spans="1:5" x14ac:dyDescent="0.25">
      <c r="B90" t="s">
        <v>290</v>
      </c>
      <c r="C90" t="s">
        <v>939</v>
      </c>
    </row>
  </sheetData>
  <autoFilter ref="A1:E99" xr:uid="{A526D88A-D53C-48FF-978F-7E496FB8AA8D}">
    <filterColumn colId="3">
      <filters blank="1"/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BE345-E1EB-49AA-A353-46C8E71892DB}">
  <dimension ref="A2:C11"/>
  <sheetViews>
    <sheetView workbookViewId="0">
      <selection activeCell="C11" sqref="C11"/>
    </sheetView>
  </sheetViews>
  <sheetFormatPr defaultRowHeight="15" x14ac:dyDescent="0.25"/>
  <cols>
    <col min="1" max="1" width="39.28515625" bestFit="1" customWidth="1"/>
    <col min="3" max="3" width="36" customWidth="1"/>
  </cols>
  <sheetData>
    <row r="2" spans="1:3" x14ac:dyDescent="0.25">
      <c r="A2" t="s">
        <v>195</v>
      </c>
      <c r="B2">
        <v>101</v>
      </c>
      <c r="C2" t="s">
        <v>916</v>
      </c>
    </row>
    <row r="3" spans="1:3" x14ac:dyDescent="0.25">
      <c r="A3" t="s">
        <v>196</v>
      </c>
      <c r="B3">
        <v>102</v>
      </c>
      <c r="C3" t="s">
        <v>917</v>
      </c>
    </row>
    <row r="4" spans="1:3" x14ac:dyDescent="0.25">
      <c r="A4" t="s">
        <v>197</v>
      </c>
      <c r="B4">
        <v>103</v>
      </c>
      <c r="C4" t="s">
        <v>198</v>
      </c>
    </row>
    <row r="5" spans="1:3" x14ac:dyDescent="0.25">
      <c r="A5" t="s">
        <v>918</v>
      </c>
      <c r="B5">
        <v>104</v>
      </c>
      <c r="C5" t="s">
        <v>931</v>
      </c>
    </row>
    <row r="6" spans="1:3" x14ac:dyDescent="0.25">
      <c r="A6" t="s">
        <v>919</v>
      </c>
      <c r="B6">
        <v>105</v>
      </c>
      <c r="C6" t="s">
        <v>930</v>
      </c>
    </row>
    <row r="7" spans="1:3" x14ac:dyDescent="0.25">
      <c r="A7" t="s">
        <v>920</v>
      </c>
      <c r="B7">
        <v>106</v>
      </c>
      <c r="C7" t="s">
        <v>925</v>
      </c>
    </row>
    <row r="8" spans="1:3" x14ac:dyDescent="0.25">
      <c r="A8" t="s">
        <v>921</v>
      </c>
      <c r="B8">
        <v>107</v>
      </c>
      <c r="C8" t="s">
        <v>929</v>
      </c>
    </row>
    <row r="9" spans="1:3" x14ac:dyDescent="0.25">
      <c r="A9" t="s">
        <v>922</v>
      </c>
      <c r="B9">
        <v>108</v>
      </c>
      <c r="C9" t="s">
        <v>926</v>
      </c>
    </row>
    <row r="10" spans="1:3" x14ac:dyDescent="0.25">
      <c r="A10" t="s">
        <v>923</v>
      </c>
      <c r="B10">
        <v>109</v>
      </c>
      <c r="C10" t="s">
        <v>927</v>
      </c>
    </row>
    <row r="11" spans="1:3" x14ac:dyDescent="0.25">
      <c r="A11" t="s">
        <v>924</v>
      </c>
      <c r="B11">
        <v>110</v>
      </c>
      <c r="C11" t="s">
        <v>928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637BC-36A2-49E1-8104-C2CAB79C8E2F}">
  <dimension ref="A1:G50"/>
  <sheetViews>
    <sheetView topLeftCell="A7" workbookViewId="0">
      <selection activeCell="C26" sqref="C26"/>
    </sheetView>
  </sheetViews>
  <sheetFormatPr defaultRowHeight="15" x14ac:dyDescent="0.25"/>
  <cols>
    <col min="1" max="1" width="64.5703125" customWidth="1"/>
    <col min="2" max="2" width="12.7109375" style="35" customWidth="1"/>
    <col min="3" max="3" width="9.140625" style="35"/>
    <col min="4" max="5" width="9.140625" style="26"/>
  </cols>
  <sheetData>
    <row r="1" spans="1:7" s="38" customFormat="1" x14ac:dyDescent="0.25">
      <c r="A1" s="38" t="s">
        <v>661</v>
      </c>
      <c r="B1" s="39" t="s">
        <v>660</v>
      </c>
      <c r="C1" s="39" t="s">
        <v>598</v>
      </c>
      <c r="D1" s="40" t="s">
        <v>599</v>
      </c>
      <c r="E1" s="40"/>
    </row>
    <row r="2" spans="1:7" x14ac:dyDescent="0.25">
      <c r="A2" t="s">
        <v>613</v>
      </c>
      <c r="B2" s="35" t="s">
        <v>612</v>
      </c>
      <c r="C2" s="35" t="s">
        <v>591</v>
      </c>
      <c r="D2" s="26">
        <f>HEX2DEC(C2)</f>
        <v>61444</v>
      </c>
      <c r="F2" t="s">
        <v>611</v>
      </c>
    </row>
    <row r="3" spans="1:7" x14ac:dyDescent="0.25">
      <c r="A3" t="s">
        <v>674</v>
      </c>
      <c r="B3" s="35" t="s">
        <v>675</v>
      </c>
      <c r="C3" s="35" t="s">
        <v>676</v>
      </c>
      <c r="D3" s="26">
        <f>HEX2DEC(C3)</f>
        <v>61443</v>
      </c>
      <c r="F3" t="s">
        <v>611</v>
      </c>
    </row>
    <row r="4" spans="1:7" x14ac:dyDescent="0.25">
      <c r="A4" t="s">
        <v>614</v>
      </c>
      <c r="B4" s="35" t="s">
        <v>615</v>
      </c>
      <c r="C4" s="35" t="s">
        <v>616</v>
      </c>
      <c r="D4" s="26">
        <f>HEX2DEC(C4)</f>
        <v>65247</v>
      </c>
      <c r="F4" t="s">
        <v>611</v>
      </c>
    </row>
    <row r="5" spans="1:7" x14ac:dyDescent="0.25">
      <c r="A5" t="s">
        <v>662</v>
      </c>
      <c r="B5" s="35" t="s">
        <v>663</v>
      </c>
      <c r="C5" s="35" t="s">
        <v>664</v>
      </c>
      <c r="D5" s="26">
        <f>HEX2DEC(C5)</f>
        <v>64981</v>
      </c>
      <c r="F5" t="s">
        <v>611</v>
      </c>
    </row>
    <row r="6" spans="1:7" x14ac:dyDescent="0.25">
      <c r="A6" t="s">
        <v>597</v>
      </c>
      <c r="B6" s="35" t="s">
        <v>617</v>
      </c>
      <c r="C6" s="35" t="s">
        <v>592</v>
      </c>
      <c r="D6" s="26">
        <f t="shared" ref="D6:D7" si="0">HEX2DEC(C6)</f>
        <v>65262</v>
      </c>
      <c r="F6" t="s">
        <v>611</v>
      </c>
    </row>
    <row r="7" spans="1:7" x14ac:dyDescent="0.25">
      <c r="A7" t="s">
        <v>600</v>
      </c>
      <c r="B7" s="35" t="s">
        <v>618</v>
      </c>
      <c r="C7" s="35" t="s">
        <v>593</v>
      </c>
      <c r="D7" s="26">
        <f t="shared" si="0"/>
        <v>65263</v>
      </c>
      <c r="F7" t="s">
        <v>611</v>
      </c>
    </row>
    <row r="8" spans="1:7" x14ac:dyDescent="0.25">
      <c r="A8" s="36" t="s">
        <v>602</v>
      </c>
      <c r="B8" s="36" t="s">
        <v>619</v>
      </c>
      <c r="C8" s="35" t="s">
        <v>595</v>
      </c>
      <c r="D8" s="26">
        <f t="shared" ref="D8:D17" si="1">HEX2DEC(C8)</f>
        <v>65253</v>
      </c>
      <c r="F8" t="s">
        <v>611</v>
      </c>
      <c r="G8" t="s">
        <v>626</v>
      </c>
    </row>
    <row r="9" spans="1:7" x14ac:dyDescent="0.25">
      <c r="A9" s="35" t="s">
        <v>601</v>
      </c>
      <c r="B9" s="35" t="s">
        <v>285</v>
      </c>
      <c r="C9" s="35" t="s">
        <v>594</v>
      </c>
      <c r="D9" s="26">
        <f t="shared" si="1"/>
        <v>65226</v>
      </c>
      <c r="F9" t="s">
        <v>611</v>
      </c>
    </row>
    <row r="10" spans="1:7" x14ac:dyDescent="0.25">
      <c r="A10" s="35" t="s">
        <v>601</v>
      </c>
      <c r="B10" s="35" t="s">
        <v>603</v>
      </c>
      <c r="C10" s="35" t="s">
        <v>604</v>
      </c>
      <c r="D10" s="26">
        <f t="shared" si="1"/>
        <v>65227</v>
      </c>
      <c r="F10" t="s">
        <v>611</v>
      </c>
    </row>
    <row r="11" spans="1:7" x14ac:dyDescent="0.25">
      <c r="A11" t="s">
        <v>633</v>
      </c>
      <c r="B11" s="35" t="s">
        <v>689</v>
      </c>
      <c r="C11" s="35" t="s">
        <v>634</v>
      </c>
      <c r="D11" s="26">
        <f t="shared" si="1"/>
        <v>65243</v>
      </c>
      <c r="F11" t="s">
        <v>611</v>
      </c>
    </row>
    <row r="12" spans="1:7" x14ac:dyDescent="0.25">
      <c r="A12" t="s">
        <v>622</v>
      </c>
      <c r="B12" s="35" t="s">
        <v>624</v>
      </c>
      <c r="C12" s="35" t="s">
        <v>625</v>
      </c>
      <c r="D12" s="26">
        <f t="shared" si="1"/>
        <v>65266</v>
      </c>
      <c r="F12" t="s">
        <v>611</v>
      </c>
    </row>
    <row r="13" spans="1:7" x14ac:dyDescent="0.25">
      <c r="A13" t="s">
        <v>623</v>
      </c>
      <c r="B13" s="35" t="s">
        <v>620</v>
      </c>
      <c r="C13" s="35" t="s">
        <v>621</v>
      </c>
      <c r="D13" s="26">
        <f t="shared" si="1"/>
        <v>65257</v>
      </c>
      <c r="F13" t="s">
        <v>611</v>
      </c>
      <c r="G13" t="s">
        <v>626</v>
      </c>
    </row>
    <row r="14" spans="1:7" x14ac:dyDescent="0.25">
      <c r="A14" t="s">
        <v>627</v>
      </c>
      <c r="B14" s="35" t="s">
        <v>647</v>
      </c>
      <c r="C14" s="35" t="s">
        <v>628</v>
      </c>
      <c r="D14" s="26">
        <f t="shared" si="1"/>
        <v>65269</v>
      </c>
      <c r="F14" t="s">
        <v>611</v>
      </c>
    </row>
    <row r="15" spans="1:7" x14ac:dyDescent="0.25">
      <c r="A15" t="s">
        <v>629</v>
      </c>
      <c r="B15" s="35" t="s">
        <v>646</v>
      </c>
      <c r="C15" s="35" t="s">
        <v>630</v>
      </c>
      <c r="D15" s="26">
        <f t="shared" si="1"/>
        <v>65270</v>
      </c>
      <c r="F15" t="s">
        <v>611</v>
      </c>
    </row>
    <row r="16" spans="1:7" x14ac:dyDescent="0.25">
      <c r="A16" t="s">
        <v>643</v>
      </c>
      <c r="B16" s="35" t="s">
        <v>645</v>
      </c>
      <c r="C16" s="35" t="s">
        <v>644</v>
      </c>
      <c r="D16" s="26">
        <f t="shared" si="1"/>
        <v>65271</v>
      </c>
      <c r="F16" t="s">
        <v>611</v>
      </c>
    </row>
    <row r="17" spans="1:6" x14ac:dyDescent="0.25">
      <c r="A17" t="s">
        <v>656</v>
      </c>
      <c r="B17" s="35" t="s">
        <v>655</v>
      </c>
      <c r="C17" s="35" t="s">
        <v>640</v>
      </c>
      <c r="D17" s="26">
        <f t="shared" si="1"/>
        <v>65130</v>
      </c>
      <c r="F17" t="s">
        <v>611</v>
      </c>
    </row>
    <row r="19" spans="1:6" x14ac:dyDescent="0.25">
      <c r="A19" s="43" t="s">
        <v>650</v>
      </c>
      <c r="B19" s="44" t="s">
        <v>588</v>
      </c>
      <c r="C19" s="44">
        <v>0</v>
      </c>
      <c r="D19" s="45">
        <f>HEX2DEC(C19)</f>
        <v>0</v>
      </c>
      <c r="E19" s="45"/>
      <c r="F19" s="43" t="s">
        <v>610</v>
      </c>
    </row>
    <row r="20" spans="1:6" x14ac:dyDescent="0.25">
      <c r="A20" s="43" t="s">
        <v>649</v>
      </c>
      <c r="B20" s="44" t="s">
        <v>590</v>
      </c>
      <c r="C20" s="44" t="s">
        <v>648</v>
      </c>
      <c r="D20" s="45">
        <f>HEX2DEC(C20)</f>
        <v>57344</v>
      </c>
      <c r="E20" s="45"/>
      <c r="F20" s="43" t="s">
        <v>610</v>
      </c>
    </row>
    <row r="21" spans="1:6" x14ac:dyDescent="0.25">
      <c r="A21" s="43" t="s">
        <v>651</v>
      </c>
      <c r="B21" s="44" t="s">
        <v>589</v>
      </c>
      <c r="C21" s="44">
        <v>8500</v>
      </c>
      <c r="D21" s="45">
        <f>HEX2DEC(C21)</f>
        <v>34048</v>
      </c>
      <c r="E21" s="45"/>
      <c r="F21" s="43" t="s">
        <v>610</v>
      </c>
    </row>
    <row r="22" spans="1:6" x14ac:dyDescent="0.25">
      <c r="A22" s="43" t="s">
        <v>608</v>
      </c>
      <c r="B22" s="44" t="s">
        <v>607</v>
      </c>
      <c r="C22" s="44" t="s">
        <v>609</v>
      </c>
      <c r="D22" s="45">
        <f>HEX2DEC(C22)</f>
        <v>56832</v>
      </c>
      <c r="E22" s="45"/>
      <c r="F22" s="43" t="s">
        <v>610</v>
      </c>
    </row>
    <row r="24" spans="1:6" x14ac:dyDescent="0.25">
      <c r="A24" t="s">
        <v>606</v>
      </c>
      <c r="B24" s="35" t="s">
        <v>605</v>
      </c>
      <c r="C24" s="35" t="s">
        <v>596</v>
      </c>
      <c r="D24" s="26">
        <f>HEX2DEC(C24)</f>
        <v>64892</v>
      </c>
      <c r="F24" t="s">
        <v>611</v>
      </c>
    </row>
    <row r="25" spans="1:6" x14ac:dyDescent="0.25">
      <c r="A25" t="s">
        <v>631</v>
      </c>
      <c r="B25" s="35" t="s">
        <v>652</v>
      </c>
      <c r="C25" s="35" t="s">
        <v>632</v>
      </c>
      <c r="D25" s="26">
        <f>HEX2DEC(C25)</f>
        <v>64948</v>
      </c>
      <c r="F25" t="s">
        <v>611</v>
      </c>
    </row>
    <row r="26" spans="1:6" x14ac:dyDescent="0.25">
      <c r="A26" t="s">
        <v>635</v>
      </c>
      <c r="B26" s="35" t="s">
        <v>654</v>
      </c>
      <c r="C26" s="35" t="s">
        <v>636</v>
      </c>
      <c r="D26" s="26">
        <f>HEX2DEC(C26)</f>
        <v>65110</v>
      </c>
      <c r="F26" t="s">
        <v>611</v>
      </c>
    </row>
    <row r="27" spans="1:6" x14ac:dyDescent="0.25">
      <c r="A27" t="s">
        <v>638</v>
      </c>
      <c r="B27" s="35" t="s">
        <v>657</v>
      </c>
      <c r="C27" s="35" t="s">
        <v>639</v>
      </c>
      <c r="D27" s="26">
        <f t="shared" ref="D27:D38" si="2">HEX2DEC(C27)</f>
        <v>61475</v>
      </c>
      <c r="F27" t="s">
        <v>611</v>
      </c>
    </row>
    <row r="28" spans="1:6" x14ac:dyDescent="0.25">
      <c r="A28" t="s">
        <v>637</v>
      </c>
      <c r="B28" s="35" t="s">
        <v>658</v>
      </c>
      <c r="C28" s="35" t="s">
        <v>636</v>
      </c>
      <c r="D28" s="26">
        <f t="shared" si="2"/>
        <v>65110</v>
      </c>
      <c r="F28" t="s">
        <v>611</v>
      </c>
    </row>
    <row r="29" spans="1:6" x14ac:dyDescent="0.25">
      <c r="A29" t="s">
        <v>641</v>
      </c>
      <c r="B29" s="35" t="s">
        <v>659</v>
      </c>
      <c r="C29" s="35" t="s">
        <v>642</v>
      </c>
      <c r="D29" s="26">
        <f t="shared" si="2"/>
        <v>64830</v>
      </c>
      <c r="F29" t="s">
        <v>611</v>
      </c>
    </row>
    <row r="30" spans="1:6" x14ac:dyDescent="0.25">
      <c r="A30" t="s">
        <v>666</v>
      </c>
      <c r="B30" s="35" t="s">
        <v>667</v>
      </c>
      <c r="C30" s="35" t="s">
        <v>665</v>
      </c>
      <c r="D30" s="26">
        <f t="shared" si="2"/>
        <v>64800</v>
      </c>
      <c r="F30" t="s">
        <v>611</v>
      </c>
    </row>
    <row r="31" spans="1:6" x14ac:dyDescent="0.25">
      <c r="A31" s="33" t="s">
        <v>668</v>
      </c>
      <c r="B31" s="41" t="s">
        <v>669</v>
      </c>
      <c r="C31" s="41" t="s">
        <v>670</v>
      </c>
      <c r="D31" s="42">
        <f t="shared" si="2"/>
        <v>64561</v>
      </c>
      <c r="E31" s="42"/>
      <c r="F31" s="33" t="s">
        <v>611</v>
      </c>
    </row>
    <row r="33" spans="1:7" x14ac:dyDescent="0.25">
      <c r="A33" t="s">
        <v>671</v>
      </c>
      <c r="B33" s="35" t="s">
        <v>673</v>
      </c>
      <c r="C33" s="35" t="s">
        <v>672</v>
      </c>
      <c r="D33" s="26">
        <f t="shared" si="2"/>
        <v>65279</v>
      </c>
      <c r="F33" t="s">
        <v>611</v>
      </c>
    </row>
    <row r="34" spans="1:7" x14ac:dyDescent="0.25">
      <c r="A34" t="s">
        <v>677</v>
      </c>
      <c r="B34" s="35" t="s">
        <v>678</v>
      </c>
      <c r="C34" s="35" t="s">
        <v>679</v>
      </c>
      <c r="D34" s="26">
        <f t="shared" si="2"/>
        <v>64775</v>
      </c>
      <c r="F34" t="s">
        <v>611</v>
      </c>
    </row>
    <row r="35" spans="1:7" x14ac:dyDescent="0.25">
      <c r="A35" t="s">
        <v>680</v>
      </c>
      <c r="B35" s="35" t="s">
        <v>681</v>
      </c>
      <c r="C35" s="35" t="s">
        <v>682</v>
      </c>
      <c r="D35" s="26">
        <f t="shared" si="2"/>
        <v>64773</v>
      </c>
      <c r="F35" t="s">
        <v>611</v>
      </c>
    </row>
    <row r="37" spans="1:7" x14ac:dyDescent="0.25">
      <c r="A37" t="s">
        <v>683</v>
      </c>
      <c r="B37" s="35" t="s">
        <v>685</v>
      </c>
      <c r="C37" s="35" t="s">
        <v>684</v>
      </c>
      <c r="D37" s="26">
        <f t="shared" si="2"/>
        <v>65242</v>
      </c>
      <c r="F37" t="s">
        <v>611</v>
      </c>
      <c r="G37" t="s">
        <v>626</v>
      </c>
    </row>
    <row r="38" spans="1:7" x14ac:dyDescent="0.25">
      <c r="A38" t="s">
        <v>686</v>
      </c>
      <c r="B38" s="35" t="s">
        <v>688</v>
      </c>
      <c r="C38" s="35" t="s">
        <v>687</v>
      </c>
      <c r="D38" s="26">
        <f t="shared" si="2"/>
        <v>65259</v>
      </c>
      <c r="F38" t="s">
        <v>611</v>
      </c>
      <c r="G38" t="s">
        <v>626</v>
      </c>
    </row>
    <row r="40" spans="1:7" x14ac:dyDescent="0.25">
      <c r="A40" s="37" t="s">
        <v>653</v>
      </c>
    </row>
    <row r="42" spans="1:7" x14ac:dyDescent="0.25">
      <c r="A42" t="s">
        <v>884</v>
      </c>
      <c r="D42" s="26">
        <v>61473</v>
      </c>
    </row>
    <row r="49" spans="1:2" x14ac:dyDescent="0.25">
      <c r="A49" s="36"/>
      <c r="B49" s="36"/>
    </row>
    <row r="50" spans="1:2" x14ac:dyDescent="0.25">
      <c r="A50" s="36"/>
      <c r="B50" s="36"/>
    </row>
  </sheetData>
  <hyperlinks>
    <hyperlink ref="A40" r:id="rId1" xr:uid="{B80028AB-436B-4C7D-979E-21DB1B952145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5F87-8E16-4012-B1FC-4AA8A57E1B78}">
  <sheetPr filterMode="1"/>
  <dimension ref="A1:X171"/>
  <sheetViews>
    <sheetView topLeftCell="A45" workbookViewId="0">
      <selection activeCell="E99" sqref="E99"/>
    </sheetView>
  </sheetViews>
  <sheetFormatPr defaultRowHeight="15" x14ac:dyDescent="0.25"/>
  <cols>
    <col min="2" max="2" width="10.42578125" bestFit="1" customWidth="1"/>
    <col min="3" max="3" width="35.85546875" bestFit="1" customWidth="1"/>
    <col min="4" max="4" width="19.140625" bestFit="1" customWidth="1"/>
    <col min="5" max="5" width="5.85546875" style="35" bestFit="1" customWidth="1"/>
    <col min="6" max="6" width="10" bestFit="1" customWidth="1"/>
    <col min="7" max="7" width="2" style="26" bestFit="1" customWidth="1"/>
    <col min="8" max="8" width="5.140625" style="26" bestFit="1" customWidth="1"/>
    <col min="9" max="9" width="2" style="26" bestFit="1" customWidth="1"/>
    <col min="10" max="10" width="8.140625" style="26" customWidth="1"/>
    <col min="13" max="13" width="43.28515625" hidden="1" customWidth="1"/>
    <col min="14" max="14" width="50.28515625" customWidth="1"/>
    <col min="15" max="15" width="44" bestFit="1" customWidth="1"/>
    <col min="16" max="16" width="49" bestFit="1" customWidth="1"/>
  </cols>
  <sheetData>
    <row r="1" spans="1:24" s="27" customFormat="1" ht="18.75" x14ac:dyDescent="0.3">
      <c r="A1" s="27" t="s">
        <v>2</v>
      </c>
      <c r="B1" s="27" t="s">
        <v>895</v>
      </c>
      <c r="E1" s="46" t="s">
        <v>894</v>
      </c>
      <c r="F1" s="27" t="s">
        <v>898</v>
      </c>
      <c r="G1" s="28"/>
      <c r="H1" s="28"/>
      <c r="I1" s="28"/>
      <c r="J1" s="28"/>
      <c r="K1" s="27" t="s">
        <v>896</v>
      </c>
      <c r="N1" s="27" t="s">
        <v>897</v>
      </c>
    </row>
    <row r="2" spans="1:24" hidden="1" x14ac:dyDescent="0.25">
      <c r="A2">
        <v>1</v>
      </c>
      <c r="B2" t="s">
        <v>588</v>
      </c>
      <c r="C2" t="s">
        <v>691</v>
      </c>
      <c r="K2" t="s">
        <v>700</v>
      </c>
      <c r="M2" t="str">
        <f>IF(C2&lt;&gt;"",_xlfn.CONCAT(B2,"_",C2),"")</f>
        <v>TSC1_EngOverrideCtrlMode</v>
      </c>
      <c r="N2" t="str">
        <f>_xlfn.CONCAT($N$1,M2)</f>
        <v>GVL_J1939.TSC1_EngOverrideCtrlMode</v>
      </c>
      <c r="O2" t="str">
        <f>_xlfn.CONCAT(N2,";")</f>
        <v>GVL_J1939.TSC1_EngOverrideCtrlMode;</v>
      </c>
      <c r="P2" t="str">
        <f>_xlfn.CONCAT(M2,":",K2,"; // SPN:",E2)</f>
        <v>TSC1_EngOverrideCtrlMode:USINT; // SPN:</v>
      </c>
    </row>
    <row r="3" spans="1:24" hidden="1" x14ac:dyDescent="0.25">
      <c r="A3">
        <v>2</v>
      </c>
      <c r="B3" t="s">
        <v>588</v>
      </c>
      <c r="C3" t="s">
        <v>690</v>
      </c>
      <c r="K3" t="s">
        <v>700</v>
      </c>
      <c r="M3" t="str">
        <f t="shared" ref="M3:M66" si="0">IF(C3&lt;&gt;"",_xlfn.CONCAT(B3,"_",C3),"")</f>
        <v>TSC1_EngRqedSpeedCtrlConditions</v>
      </c>
      <c r="N3" t="str">
        <f t="shared" ref="N3:N66" si="1">_xlfn.CONCAT($N$1,M3)</f>
        <v>GVL_J1939.TSC1_EngRqedSpeedCtrlConditions</v>
      </c>
      <c r="O3" t="str">
        <f t="shared" ref="O3:O66" si="2">_xlfn.CONCAT(N3,";")</f>
        <v>GVL_J1939.TSC1_EngRqedSpeedCtrlConditions;</v>
      </c>
      <c r="P3" t="str">
        <f t="shared" ref="P3:P66" si="3">_xlfn.CONCAT(M3,":",K3,"; // SPN:",E3)</f>
        <v>TSC1_EngRqedSpeedCtrlConditions:USINT; // SPN:</v>
      </c>
    </row>
    <row r="4" spans="1:24" hidden="1" x14ac:dyDescent="0.25">
      <c r="A4">
        <v>3</v>
      </c>
      <c r="B4" t="s">
        <v>588</v>
      </c>
      <c r="C4" t="s">
        <v>692</v>
      </c>
      <c r="K4" t="s">
        <v>700</v>
      </c>
      <c r="M4" t="str">
        <f t="shared" si="0"/>
        <v>TSC1_OverrideCtrlModePriority</v>
      </c>
      <c r="N4" t="str">
        <f t="shared" si="1"/>
        <v>GVL_J1939.TSC1_OverrideCtrlModePriority</v>
      </c>
      <c r="O4" t="str">
        <f t="shared" si="2"/>
        <v>GVL_J1939.TSC1_OverrideCtrlModePriority;</v>
      </c>
      <c r="P4" t="str">
        <f t="shared" si="3"/>
        <v>TSC1_OverrideCtrlModePriority:USINT; // SPN:</v>
      </c>
    </row>
    <row r="5" spans="1:24" hidden="1" x14ac:dyDescent="0.25">
      <c r="A5">
        <v>4</v>
      </c>
      <c r="B5" t="s">
        <v>588</v>
      </c>
      <c r="C5" t="s">
        <v>693</v>
      </c>
      <c r="K5" t="s">
        <v>701</v>
      </c>
      <c r="M5" t="str">
        <f t="shared" si="0"/>
        <v>TSC1_EngRqedSpeed_SpeedLimit</v>
      </c>
      <c r="N5" t="str">
        <f t="shared" si="1"/>
        <v>GVL_J1939.TSC1_EngRqedSpeed_SpeedLimit</v>
      </c>
      <c r="O5" t="str">
        <f t="shared" si="2"/>
        <v>GVL_J1939.TSC1_EngRqedSpeed_SpeedLimit;</v>
      </c>
      <c r="P5" t="str">
        <f t="shared" si="3"/>
        <v>TSC1_EngRqedSpeed_SpeedLimit:REAL; // SPN:</v>
      </c>
    </row>
    <row r="6" spans="1:24" hidden="1" x14ac:dyDescent="0.25">
      <c r="A6">
        <v>5</v>
      </c>
      <c r="B6" t="s">
        <v>588</v>
      </c>
      <c r="C6" t="s">
        <v>694</v>
      </c>
      <c r="K6" t="s">
        <v>702</v>
      </c>
      <c r="M6" t="str">
        <f t="shared" si="0"/>
        <v>TSC1_EngRqedTorque_TorqueLimit</v>
      </c>
      <c r="N6" t="str">
        <f t="shared" si="1"/>
        <v>GVL_J1939.TSC1_EngRqedTorque_TorqueLimit</v>
      </c>
      <c r="O6" t="str">
        <f t="shared" si="2"/>
        <v>GVL_J1939.TSC1_EngRqedTorque_TorqueLimit;</v>
      </c>
      <c r="P6" t="str">
        <f t="shared" si="3"/>
        <v>TSC1_EngRqedTorque_TorqueLimit:INT; // SPN:</v>
      </c>
    </row>
    <row r="7" spans="1:24" hidden="1" x14ac:dyDescent="0.25">
      <c r="A7">
        <v>6</v>
      </c>
      <c r="B7" t="s">
        <v>588</v>
      </c>
      <c r="C7" t="s">
        <v>695</v>
      </c>
      <c r="K7" t="s">
        <v>700</v>
      </c>
      <c r="M7" t="str">
        <f t="shared" si="0"/>
        <v>TSC1_TransmissionRate</v>
      </c>
      <c r="N7" t="str">
        <f t="shared" si="1"/>
        <v>GVL_J1939.TSC1_TransmissionRate</v>
      </c>
      <c r="O7" t="str">
        <f t="shared" si="2"/>
        <v>GVL_J1939.TSC1_TransmissionRate;</v>
      </c>
      <c r="P7" t="str">
        <f t="shared" si="3"/>
        <v>TSC1_TransmissionRate:USINT; // SPN:</v>
      </c>
    </row>
    <row r="8" spans="1:24" hidden="1" x14ac:dyDescent="0.25">
      <c r="A8">
        <v>7</v>
      </c>
      <c r="B8" t="s">
        <v>588</v>
      </c>
      <c r="C8" t="s">
        <v>696</v>
      </c>
      <c r="K8" t="s">
        <v>700</v>
      </c>
      <c r="M8" t="str">
        <f t="shared" si="0"/>
        <v>TSC1_ControlPurpose</v>
      </c>
      <c r="N8" t="str">
        <f t="shared" si="1"/>
        <v>GVL_J1939.TSC1_ControlPurpose</v>
      </c>
      <c r="O8" t="str">
        <f t="shared" si="2"/>
        <v>GVL_J1939.TSC1_ControlPurpose;</v>
      </c>
      <c r="P8" t="str">
        <f t="shared" si="3"/>
        <v>TSC1_ControlPurpose:USINT; // SPN:</v>
      </c>
      <c r="U8" t="s">
        <v>285</v>
      </c>
      <c r="V8" t="s">
        <v>711</v>
      </c>
      <c r="X8" t="s">
        <v>700</v>
      </c>
    </row>
    <row r="9" spans="1:24" hidden="1" x14ac:dyDescent="0.25">
      <c r="A9">
        <v>8</v>
      </c>
      <c r="B9" t="s">
        <v>588</v>
      </c>
      <c r="C9" t="s">
        <v>697</v>
      </c>
      <c r="K9" t="s">
        <v>701</v>
      </c>
      <c r="M9" t="str">
        <f t="shared" si="0"/>
        <v>TSC1_EngineRequestedTorqueHiRes</v>
      </c>
      <c r="N9" t="str">
        <f t="shared" si="1"/>
        <v>GVL_J1939.TSC1_EngineRequestedTorqueHiRes</v>
      </c>
      <c r="O9" t="str">
        <f t="shared" si="2"/>
        <v>GVL_J1939.TSC1_EngineRequestedTorqueHiRes;</v>
      </c>
      <c r="P9" t="str">
        <f t="shared" si="3"/>
        <v>TSC1_EngineRequestedTorqueHiRes:REAL; // SPN:</v>
      </c>
      <c r="U9" t="s">
        <v>285</v>
      </c>
      <c r="V9" t="s">
        <v>712</v>
      </c>
      <c r="X9" t="s">
        <v>700</v>
      </c>
    </row>
    <row r="10" spans="1:24" hidden="1" x14ac:dyDescent="0.25">
      <c r="A10">
        <v>9</v>
      </c>
      <c r="B10" t="s">
        <v>588</v>
      </c>
      <c r="C10" t="s">
        <v>698</v>
      </c>
      <c r="K10" t="s">
        <v>700</v>
      </c>
      <c r="M10" t="str">
        <f t="shared" si="0"/>
        <v>TSC1_MessageCounter</v>
      </c>
      <c r="N10" t="str">
        <f t="shared" si="1"/>
        <v>GVL_J1939.TSC1_MessageCounter</v>
      </c>
      <c r="O10" t="str">
        <f t="shared" si="2"/>
        <v>GVL_J1939.TSC1_MessageCounter;</v>
      </c>
      <c r="P10" t="str">
        <f t="shared" si="3"/>
        <v>TSC1_MessageCounter:USINT; // SPN:</v>
      </c>
      <c r="U10" t="s">
        <v>285</v>
      </c>
      <c r="V10" t="s">
        <v>713</v>
      </c>
      <c r="X10" t="s">
        <v>700</v>
      </c>
    </row>
    <row r="11" spans="1:24" hidden="1" x14ac:dyDescent="0.25">
      <c r="A11">
        <v>10</v>
      </c>
      <c r="B11" t="s">
        <v>588</v>
      </c>
      <c r="C11" t="s">
        <v>699</v>
      </c>
      <c r="K11" t="s">
        <v>700</v>
      </c>
      <c r="M11" t="str">
        <f t="shared" si="0"/>
        <v>TSC1_MessageChecksum</v>
      </c>
      <c r="N11" t="str">
        <f t="shared" si="1"/>
        <v>GVL_J1939.TSC1_MessageChecksum</v>
      </c>
      <c r="O11" t="str">
        <f t="shared" si="2"/>
        <v>GVL_J1939.TSC1_MessageChecksum;</v>
      </c>
      <c r="P11" t="str">
        <f t="shared" si="3"/>
        <v>TSC1_MessageChecksum:USINT; // SPN:</v>
      </c>
      <c r="U11" t="s">
        <v>285</v>
      </c>
      <c r="V11" t="s">
        <v>714</v>
      </c>
      <c r="X11" t="s">
        <v>700</v>
      </c>
    </row>
    <row r="12" spans="1:24" hidden="1" x14ac:dyDescent="0.25">
      <c r="A12">
        <v>11</v>
      </c>
      <c r="B12" t="s">
        <v>612</v>
      </c>
      <c r="C12" t="s">
        <v>703</v>
      </c>
      <c r="E12" s="35">
        <v>899</v>
      </c>
      <c r="K12" t="s">
        <v>700</v>
      </c>
      <c r="M12" t="str">
        <f t="shared" si="0"/>
        <v>EEC1_EngTorqueMode</v>
      </c>
      <c r="N12" t="str">
        <f t="shared" si="1"/>
        <v>GVL_J1939.EEC1_EngTorqueMode</v>
      </c>
      <c r="O12" t="str">
        <f t="shared" si="2"/>
        <v>GVL_J1939.EEC1_EngTorqueMode;</v>
      </c>
      <c r="P12" t="str">
        <f t="shared" si="3"/>
        <v>EEC1_EngTorqueMode:USINT; // SPN:899</v>
      </c>
      <c r="U12" t="s">
        <v>285</v>
      </c>
      <c r="V12" t="s">
        <v>715</v>
      </c>
      <c r="X12" t="s">
        <v>700</v>
      </c>
    </row>
    <row r="13" spans="1:24" hidden="1" x14ac:dyDescent="0.25">
      <c r="A13">
        <v>12</v>
      </c>
      <c r="B13" t="s">
        <v>612</v>
      </c>
      <c r="C13" t="s">
        <v>704</v>
      </c>
      <c r="E13" s="35">
        <v>4154</v>
      </c>
      <c r="K13" t="s">
        <v>701</v>
      </c>
      <c r="M13" t="str">
        <f t="shared" si="0"/>
        <v>EEC1_ActlEngPrcntTrqueHighResolution</v>
      </c>
      <c r="N13" t="str">
        <f t="shared" si="1"/>
        <v>GVL_J1939.EEC1_ActlEngPrcntTrqueHighResolution</v>
      </c>
      <c r="O13" t="str">
        <f t="shared" si="2"/>
        <v>GVL_J1939.EEC1_ActlEngPrcntTrqueHighResolution;</v>
      </c>
      <c r="P13" t="str">
        <f t="shared" si="3"/>
        <v>EEC1_ActlEngPrcntTrqueHighResolution:REAL; // SPN:4154</v>
      </c>
      <c r="U13" t="s">
        <v>285</v>
      </c>
      <c r="V13" t="s">
        <v>716</v>
      </c>
      <c r="X13" t="s">
        <v>700</v>
      </c>
    </row>
    <row r="14" spans="1:24" hidden="1" x14ac:dyDescent="0.25">
      <c r="A14">
        <v>13</v>
      </c>
      <c r="B14" t="s">
        <v>612</v>
      </c>
      <c r="C14" t="s">
        <v>705</v>
      </c>
      <c r="E14" s="35">
        <v>512</v>
      </c>
      <c r="K14" t="s">
        <v>702</v>
      </c>
      <c r="M14" t="str">
        <f t="shared" si="0"/>
        <v>EEC1_DriversDemandEngPercentTorque</v>
      </c>
      <c r="N14" t="str">
        <f t="shared" si="1"/>
        <v>GVL_J1939.EEC1_DriversDemandEngPercentTorque</v>
      </c>
      <c r="O14" t="str">
        <f t="shared" si="2"/>
        <v>GVL_J1939.EEC1_DriversDemandEngPercentTorque;</v>
      </c>
      <c r="P14" t="str">
        <f t="shared" si="3"/>
        <v>EEC1_DriversDemandEngPercentTorque:INT; // SPN:512</v>
      </c>
      <c r="U14" t="s">
        <v>285</v>
      </c>
      <c r="V14" t="s">
        <v>717</v>
      </c>
      <c r="X14" t="s">
        <v>722</v>
      </c>
    </row>
    <row r="15" spans="1:24" x14ac:dyDescent="0.25">
      <c r="A15">
        <v>14</v>
      </c>
      <c r="B15" t="s">
        <v>612</v>
      </c>
      <c r="C15" t="s">
        <v>706</v>
      </c>
      <c r="E15" s="35">
        <v>513</v>
      </c>
      <c r="F15" t="s">
        <v>402</v>
      </c>
      <c r="K15" t="s">
        <v>702</v>
      </c>
      <c r="M15" t="str">
        <f t="shared" si="0"/>
        <v>EEC1_ActualEngPercentTorque</v>
      </c>
      <c r="N15" t="str">
        <f t="shared" si="1"/>
        <v>GVL_J1939.EEC1_ActualEngPercentTorque</v>
      </c>
      <c r="O15" t="str">
        <f t="shared" si="2"/>
        <v>GVL_J1939.EEC1_ActualEngPercentTorque;</v>
      </c>
      <c r="P15" t="str">
        <f t="shared" si="3"/>
        <v>EEC1_ActualEngPercentTorque:INT; // SPN:513</v>
      </c>
      <c r="U15" t="s">
        <v>285</v>
      </c>
      <c r="V15" t="s">
        <v>718</v>
      </c>
      <c r="X15" t="s">
        <v>722</v>
      </c>
    </row>
    <row r="16" spans="1:24" x14ac:dyDescent="0.25">
      <c r="A16">
        <v>15</v>
      </c>
      <c r="B16" t="s">
        <v>612</v>
      </c>
      <c r="C16" t="s">
        <v>707</v>
      </c>
      <c r="E16" s="35">
        <v>190</v>
      </c>
      <c r="F16" t="s">
        <v>402</v>
      </c>
      <c r="K16" t="s">
        <v>701</v>
      </c>
      <c r="M16" t="str">
        <f t="shared" si="0"/>
        <v>EEC1_EngSpeed</v>
      </c>
      <c r="N16" t="str">
        <f t="shared" si="1"/>
        <v>GVL_J1939.EEC1_EngSpeed</v>
      </c>
      <c r="O16" t="str">
        <f t="shared" si="2"/>
        <v>GVL_J1939.EEC1_EngSpeed;</v>
      </c>
      <c r="P16" t="str">
        <f t="shared" si="3"/>
        <v>EEC1_EngSpeed:REAL; // SPN:190</v>
      </c>
      <c r="U16" t="s">
        <v>285</v>
      </c>
      <c r="V16" t="s">
        <v>719</v>
      </c>
      <c r="X16" t="s">
        <v>722</v>
      </c>
    </row>
    <row r="17" spans="1:24" hidden="1" x14ac:dyDescent="0.25">
      <c r="A17">
        <v>16</v>
      </c>
      <c r="B17" t="s">
        <v>612</v>
      </c>
      <c r="C17" t="s">
        <v>708</v>
      </c>
      <c r="E17" s="35">
        <v>1483</v>
      </c>
      <c r="K17" t="s">
        <v>700</v>
      </c>
      <c r="M17" t="str">
        <f t="shared" si="0"/>
        <v>EEC1_SrcAddrssOfCtrllngDvcFrEngCntrl</v>
      </c>
      <c r="N17" t="str">
        <f t="shared" si="1"/>
        <v>GVL_J1939.EEC1_SrcAddrssOfCtrllngDvcFrEngCntrl</v>
      </c>
      <c r="O17" t="str">
        <f t="shared" si="2"/>
        <v>GVL_J1939.EEC1_SrcAddrssOfCtrllngDvcFrEngCntrl;</v>
      </c>
      <c r="P17" t="str">
        <f t="shared" si="3"/>
        <v>EEC1_SrcAddrssOfCtrllngDvcFrEngCntrl:USINT; // SPN:1483</v>
      </c>
      <c r="U17" t="s">
        <v>285</v>
      </c>
      <c r="V17" t="s">
        <v>720</v>
      </c>
      <c r="X17" t="s">
        <v>722</v>
      </c>
    </row>
    <row r="18" spans="1:24" hidden="1" x14ac:dyDescent="0.25">
      <c r="A18">
        <v>17</v>
      </c>
      <c r="B18" t="s">
        <v>612</v>
      </c>
      <c r="C18" t="s">
        <v>709</v>
      </c>
      <c r="E18" s="35">
        <v>1675</v>
      </c>
      <c r="K18" t="s">
        <v>700</v>
      </c>
      <c r="M18" t="str">
        <f t="shared" si="0"/>
        <v>EEC1_EngStarterMode</v>
      </c>
      <c r="N18" t="str">
        <f t="shared" si="1"/>
        <v>GVL_J1939.EEC1_EngStarterMode</v>
      </c>
      <c r="O18" t="str">
        <f t="shared" si="2"/>
        <v>GVL_J1939.EEC1_EngStarterMode;</v>
      </c>
      <c r="P18" t="str">
        <f t="shared" si="3"/>
        <v>EEC1_EngStarterMode:USINT; // SPN:1675</v>
      </c>
      <c r="U18" t="s">
        <v>285</v>
      </c>
      <c r="V18" t="s">
        <v>721</v>
      </c>
      <c r="X18" t="s">
        <v>722</v>
      </c>
    </row>
    <row r="19" spans="1:24" hidden="1" x14ac:dyDescent="0.25">
      <c r="A19">
        <v>18</v>
      </c>
      <c r="B19" t="s">
        <v>612</v>
      </c>
      <c r="C19" t="s">
        <v>710</v>
      </c>
      <c r="E19" s="35">
        <v>2432</v>
      </c>
      <c r="K19" t="s">
        <v>702</v>
      </c>
      <c r="M19" t="str">
        <f t="shared" si="0"/>
        <v>EEC1_EngDemandPercentTorque</v>
      </c>
      <c r="N19" t="str">
        <f t="shared" si="1"/>
        <v>GVL_J1939.EEC1_EngDemandPercentTorque</v>
      </c>
      <c r="O19" t="str">
        <f t="shared" si="2"/>
        <v>GVL_J1939.EEC1_EngDemandPercentTorque;</v>
      </c>
      <c r="P19" t="str">
        <f t="shared" si="3"/>
        <v>EEC1_EngDemandPercentTorque:INT; // SPN:2432</v>
      </c>
    </row>
    <row r="20" spans="1:24" hidden="1" x14ac:dyDescent="0.25">
      <c r="A20">
        <v>19</v>
      </c>
      <c r="B20" t="s">
        <v>675</v>
      </c>
      <c r="C20" t="s">
        <v>723</v>
      </c>
      <c r="E20" s="35">
        <v>588</v>
      </c>
      <c r="K20" t="s">
        <v>700</v>
      </c>
      <c r="M20" t="str">
        <f t="shared" si="0"/>
        <v>EEC2_AccelPedal1LowIdleSwitch</v>
      </c>
      <c r="N20" t="str">
        <f t="shared" si="1"/>
        <v>GVL_J1939.EEC2_AccelPedal1LowIdleSwitch</v>
      </c>
      <c r="O20" t="str">
        <f t="shared" si="2"/>
        <v>GVL_J1939.EEC2_AccelPedal1LowIdleSwitch;</v>
      </c>
      <c r="P20" t="str">
        <f t="shared" si="3"/>
        <v>EEC2_AccelPedal1LowIdleSwitch:USINT; // SPN:588</v>
      </c>
    </row>
    <row r="21" spans="1:24" hidden="1" x14ac:dyDescent="0.25">
      <c r="A21">
        <v>20</v>
      </c>
      <c r="B21" t="s">
        <v>675</v>
      </c>
      <c r="C21" t="s">
        <v>724</v>
      </c>
      <c r="E21" s="35">
        <v>559</v>
      </c>
      <c r="K21" t="s">
        <v>700</v>
      </c>
      <c r="M21" t="str">
        <f t="shared" si="0"/>
        <v>EEC2_AccelPedalKickdownSwitch</v>
      </c>
      <c r="N21" t="str">
        <f t="shared" si="1"/>
        <v>GVL_J1939.EEC2_AccelPedalKickdownSwitch</v>
      </c>
      <c r="O21" t="str">
        <f t="shared" si="2"/>
        <v>GVL_J1939.EEC2_AccelPedalKickdownSwitch;</v>
      </c>
      <c r="P21" t="str">
        <f t="shared" si="3"/>
        <v>EEC2_AccelPedalKickdownSwitch:USINT; // SPN:559</v>
      </c>
    </row>
    <row r="22" spans="1:24" hidden="1" x14ac:dyDescent="0.25">
      <c r="A22">
        <v>21</v>
      </c>
      <c r="B22" t="s">
        <v>675</v>
      </c>
      <c r="C22" t="s">
        <v>725</v>
      </c>
      <c r="E22" s="35">
        <v>1437</v>
      </c>
      <c r="K22" t="s">
        <v>700</v>
      </c>
      <c r="M22" t="str">
        <f t="shared" si="0"/>
        <v>EEC2_RoadSpeedLimitStatus</v>
      </c>
      <c r="N22" t="str">
        <f t="shared" si="1"/>
        <v>GVL_J1939.EEC2_RoadSpeedLimitStatus</v>
      </c>
      <c r="O22" t="str">
        <f t="shared" si="2"/>
        <v>GVL_J1939.EEC2_RoadSpeedLimitStatus;</v>
      </c>
      <c r="P22" t="str">
        <f t="shared" si="3"/>
        <v>EEC2_RoadSpeedLimitStatus:USINT; // SPN:1437</v>
      </c>
    </row>
    <row r="23" spans="1:24" hidden="1" x14ac:dyDescent="0.25">
      <c r="A23">
        <v>22</v>
      </c>
      <c r="B23" t="s">
        <v>675</v>
      </c>
      <c r="C23" t="s">
        <v>726</v>
      </c>
      <c r="E23" s="35">
        <v>2970</v>
      </c>
      <c r="K23" t="s">
        <v>700</v>
      </c>
      <c r="M23" t="str">
        <f t="shared" si="0"/>
        <v>EEC2_AccelPedal2LowIdleSwitch</v>
      </c>
      <c r="N23" t="str">
        <f t="shared" si="1"/>
        <v>GVL_J1939.EEC2_AccelPedal2LowIdleSwitch</v>
      </c>
      <c r="O23" t="str">
        <f t="shared" si="2"/>
        <v>GVL_J1939.EEC2_AccelPedal2LowIdleSwitch;</v>
      </c>
      <c r="P23" t="str">
        <f t="shared" si="3"/>
        <v>EEC2_AccelPedal2LowIdleSwitch:USINT; // SPN:2970</v>
      </c>
    </row>
    <row r="24" spans="1:24" hidden="1" x14ac:dyDescent="0.25">
      <c r="A24">
        <v>23</v>
      </c>
      <c r="B24" t="s">
        <v>675</v>
      </c>
      <c r="C24" t="s">
        <v>727</v>
      </c>
      <c r="E24" s="35">
        <v>91</v>
      </c>
      <c r="K24" t="s">
        <v>701</v>
      </c>
      <c r="M24" t="str">
        <f t="shared" si="0"/>
        <v>EEC2_AccelPedalPos1</v>
      </c>
      <c r="N24" t="str">
        <f t="shared" si="1"/>
        <v>GVL_J1939.EEC2_AccelPedalPos1</v>
      </c>
      <c r="O24" t="str">
        <f t="shared" si="2"/>
        <v>GVL_J1939.EEC2_AccelPedalPos1;</v>
      </c>
      <c r="P24" t="str">
        <f t="shared" si="3"/>
        <v>EEC2_AccelPedalPos1:REAL; // SPN:91</v>
      </c>
    </row>
    <row r="25" spans="1:24" x14ac:dyDescent="0.25">
      <c r="A25">
        <v>24</v>
      </c>
      <c r="B25" t="s">
        <v>675</v>
      </c>
      <c r="C25" t="s">
        <v>728</v>
      </c>
      <c r="E25" s="35">
        <v>92</v>
      </c>
      <c r="F25" t="s">
        <v>893</v>
      </c>
      <c r="K25" t="s">
        <v>700</v>
      </c>
      <c r="M25" t="str">
        <f t="shared" si="0"/>
        <v>EEC2_EngPercentLoadAtCurrentSpeed</v>
      </c>
      <c r="N25" t="str">
        <f t="shared" si="1"/>
        <v>GVL_J1939.EEC2_EngPercentLoadAtCurrentSpeed</v>
      </c>
      <c r="O25" t="str">
        <f t="shared" si="2"/>
        <v>GVL_J1939.EEC2_EngPercentLoadAtCurrentSpeed;</v>
      </c>
      <c r="P25" t="str">
        <f t="shared" si="3"/>
        <v>EEC2_EngPercentLoadAtCurrentSpeed:USINT; // SPN:92</v>
      </c>
    </row>
    <row r="26" spans="1:24" hidden="1" x14ac:dyDescent="0.25">
      <c r="A26">
        <v>25</v>
      </c>
      <c r="B26" t="s">
        <v>675</v>
      </c>
      <c r="C26" t="s">
        <v>729</v>
      </c>
      <c r="E26" s="35">
        <v>974</v>
      </c>
      <c r="K26" t="s">
        <v>701</v>
      </c>
      <c r="M26" t="str">
        <f t="shared" si="0"/>
        <v>EEC2_RemoteAccelPedalPos</v>
      </c>
      <c r="N26" t="str">
        <f t="shared" si="1"/>
        <v>GVL_J1939.EEC2_RemoteAccelPedalPos</v>
      </c>
      <c r="O26" t="str">
        <f t="shared" si="2"/>
        <v>GVL_J1939.EEC2_RemoteAccelPedalPos;</v>
      </c>
      <c r="P26" t="str">
        <f t="shared" si="3"/>
        <v>EEC2_RemoteAccelPedalPos:REAL; // SPN:974</v>
      </c>
    </row>
    <row r="27" spans="1:24" hidden="1" x14ac:dyDescent="0.25">
      <c r="A27">
        <v>26</v>
      </c>
      <c r="B27" t="s">
        <v>675</v>
      </c>
      <c r="C27" t="s">
        <v>730</v>
      </c>
      <c r="E27" s="35">
        <v>29</v>
      </c>
      <c r="K27" t="s">
        <v>701</v>
      </c>
      <c r="M27" t="str">
        <f t="shared" si="0"/>
        <v>EEC2_AccelPedalPos2</v>
      </c>
      <c r="N27" t="str">
        <f t="shared" si="1"/>
        <v>GVL_J1939.EEC2_AccelPedalPos2</v>
      </c>
      <c r="O27" t="str">
        <f t="shared" si="2"/>
        <v>GVL_J1939.EEC2_AccelPedalPos2;</v>
      </c>
      <c r="P27" t="str">
        <f t="shared" si="3"/>
        <v>EEC2_AccelPedalPos2:REAL; // SPN:29</v>
      </c>
    </row>
    <row r="28" spans="1:24" hidden="1" x14ac:dyDescent="0.25">
      <c r="A28">
        <v>27</v>
      </c>
      <c r="B28" t="s">
        <v>675</v>
      </c>
      <c r="C28" t="s">
        <v>731</v>
      </c>
      <c r="E28" s="35">
        <v>2979</v>
      </c>
      <c r="K28" t="s">
        <v>700</v>
      </c>
      <c r="M28" t="str">
        <f t="shared" si="0"/>
        <v>EEC2_VhclAccelerationRateLimitStatus</v>
      </c>
      <c r="N28" t="str">
        <f t="shared" si="1"/>
        <v>GVL_J1939.EEC2_VhclAccelerationRateLimitStatus</v>
      </c>
      <c r="O28" t="str">
        <f t="shared" si="2"/>
        <v>GVL_J1939.EEC2_VhclAccelerationRateLimitStatus;</v>
      </c>
      <c r="P28" t="str">
        <f t="shared" si="3"/>
        <v>EEC2_VhclAccelerationRateLimitStatus:USINT; // SPN:2979</v>
      </c>
    </row>
    <row r="29" spans="1:24" hidden="1" x14ac:dyDescent="0.25">
      <c r="A29">
        <v>28</v>
      </c>
      <c r="B29" t="s">
        <v>675</v>
      </c>
      <c r="C29" t="s">
        <v>732</v>
      </c>
      <c r="E29" s="35">
        <v>5021</v>
      </c>
      <c r="K29" t="s">
        <v>700</v>
      </c>
      <c r="M29" t="str">
        <f t="shared" si="0"/>
        <v>EEC2_MmntryEngMaxPowerEnableFeedback</v>
      </c>
      <c r="N29" t="str">
        <f t="shared" si="1"/>
        <v>GVL_J1939.EEC2_MmntryEngMaxPowerEnableFeedback</v>
      </c>
      <c r="O29" t="str">
        <f t="shared" si="2"/>
        <v>GVL_J1939.EEC2_MmntryEngMaxPowerEnableFeedback;</v>
      </c>
      <c r="P29" t="str">
        <f t="shared" si="3"/>
        <v>EEC2_MmntryEngMaxPowerEnableFeedback:USINT; // SPN:5021</v>
      </c>
    </row>
    <row r="30" spans="1:24" hidden="1" x14ac:dyDescent="0.25">
      <c r="A30">
        <v>29</v>
      </c>
      <c r="B30" t="s">
        <v>675</v>
      </c>
      <c r="C30" t="s">
        <v>733</v>
      </c>
      <c r="E30" s="35">
        <v>5399</v>
      </c>
      <c r="K30" t="s">
        <v>700</v>
      </c>
      <c r="M30" t="str">
        <f t="shared" si="0"/>
        <v>EEC2_DPFThermalManagementActive</v>
      </c>
      <c r="N30" t="str">
        <f t="shared" si="1"/>
        <v>GVL_J1939.EEC2_DPFThermalManagementActive</v>
      </c>
      <c r="O30" t="str">
        <f t="shared" si="2"/>
        <v>GVL_J1939.EEC2_DPFThermalManagementActive;</v>
      </c>
      <c r="P30" t="str">
        <f t="shared" si="3"/>
        <v>EEC2_DPFThermalManagementActive:USINT; // SPN:5399</v>
      </c>
    </row>
    <row r="31" spans="1:24" x14ac:dyDescent="0.25">
      <c r="A31">
        <v>30</v>
      </c>
      <c r="B31" t="s">
        <v>675</v>
      </c>
      <c r="C31" t="s">
        <v>734</v>
      </c>
      <c r="E31" s="35">
        <v>5400</v>
      </c>
      <c r="F31" t="s">
        <v>402</v>
      </c>
      <c r="K31" t="s">
        <v>700</v>
      </c>
      <c r="M31" t="str">
        <f t="shared" si="0"/>
        <v>EEC2_SCRThermalManagementActive</v>
      </c>
      <c r="N31" t="str">
        <f t="shared" si="1"/>
        <v>GVL_J1939.EEC2_SCRThermalManagementActive</v>
      </c>
      <c r="O31" t="str">
        <f t="shared" si="2"/>
        <v>GVL_J1939.EEC2_SCRThermalManagementActive;</v>
      </c>
      <c r="P31" t="str">
        <f t="shared" si="3"/>
        <v>EEC2_SCRThermalManagementActive:USINT; // SPN:5400</v>
      </c>
    </row>
    <row r="32" spans="1:24" x14ac:dyDescent="0.25">
      <c r="A32">
        <v>31</v>
      </c>
      <c r="B32" t="s">
        <v>675</v>
      </c>
      <c r="C32" t="s">
        <v>735</v>
      </c>
      <c r="E32" s="35">
        <v>3357</v>
      </c>
      <c r="F32" t="s">
        <v>402</v>
      </c>
      <c r="K32" t="s">
        <v>701</v>
      </c>
      <c r="M32" t="str">
        <f t="shared" si="0"/>
        <v>EEC2_ActlMxAvailableEngPercentTorque</v>
      </c>
      <c r="N32" t="str">
        <f t="shared" si="1"/>
        <v>GVL_J1939.EEC2_ActlMxAvailableEngPercentTorque</v>
      </c>
      <c r="O32" t="str">
        <f t="shared" si="2"/>
        <v>GVL_J1939.EEC2_ActlMxAvailableEngPercentTorque;</v>
      </c>
      <c r="P32" t="str">
        <f t="shared" si="3"/>
        <v>EEC2_ActlMxAvailableEngPercentTorque:REAL; // SPN:3357</v>
      </c>
    </row>
    <row r="33" spans="1:16" hidden="1" x14ac:dyDescent="0.25">
      <c r="A33">
        <v>32</v>
      </c>
      <c r="B33" t="s">
        <v>675</v>
      </c>
      <c r="C33" t="s">
        <v>736</v>
      </c>
      <c r="E33" s="35">
        <v>5398</v>
      </c>
      <c r="K33" t="s">
        <v>702</v>
      </c>
      <c r="M33" t="str">
        <f t="shared" si="0"/>
        <v>EEC2_EstPumpingPercentTorque</v>
      </c>
      <c r="N33" t="str">
        <f t="shared" si="1"/>
        <v>GVL_J1939.EEC2_EstPumpingPercentTorque</v>
      </c>
      <c r="O33" t="str">
        <f t="shared" si="2"/>
        <v>GVL_J1939.EEC2_EstPumpingPercentTorque;</v>
      </c>
      <c r="P33" t="str">
        <f t="shared" si="3"/>
        <v>EEC2_EstPumpingPercentTorque:INT; // SPN:5398</v>
      </c>
    </row>
    <row r="34" spans="1:16" x14ac:dyDescent="0.25">
      <c r="A34">
        <v>33</v>
      </c>
      <c r="B34" t="s">
        <v>615</v>
      </c>
      <c r="C34" t="s">
        <v>737</v>
      </c>
      <c r="E34" s="35">
        <v>514</v>
      </c>
      <c r="F34" t="s">
        <v>402</v>
      </c>
      <c r="K34" t="s">
        <v>702</v>
      </c>
      <c r="M34" t="str">
        <f t="shared" si="0"/>
        <v>EEC3_NominalFrictionPercentTorque</v>
      </c>
      <c r="N34" t="str">
        <f t="shared" si="1"/>
        <v>GVL_J1939.EEC3_NominalFrictionPercentTorque</v>
      </c>
      <c r="O34" t="str">
        <f t="shared" si="2"/>
        <v>GVL_J1939.EEC3_NominalFrictionPercentTorque;</v>
      </c>
      <c r="P34" t="str">
        <f t="shared" si="3"/>
        <v>EEC3_NominalFrictionPercentTorque:INT; // SPN:514</v>
      </c>
    </row>
    <row r="35" spans="1:16" x14ac:dyDescent="0.25">
      <c r="A35">
        <v>34</v>
      </c>
      <c r="B35" t="s">
        <v>615</v>
      </c>
      <c r="C35" t="s">
        <v>738</v>
      </c>
      <c r="E35" s="35">
        <v>515</v>
      </c>
      <c r="F35" t="s">
        <v>402</v>
      </c>
      <c r="K35" t="s">
        <v>746</v>
      </c>
      <c r="M35" t="str">
        <f t="shared" si="0"/>
        <v>EEC3_EngsDesiredOperatingSpeed</v>
      </c>
      <c r="N35" t="str">
        <f t="shared" si="1"/>
        <v>GVL_J1939.EEC3_EngsDesiredOperatingSpeed</v>
      </c>
      <c r="O35" t="str">
        <f t="shared" si="2"/>
        <v>GVL_J1939.EEC3_EngsDesiredOperatingSpeed;</v>
      </c>
      <c r="P35" t="str">
        <f t="shared" si="3"/>
        <v>EEC3_EngsDesiredOperatingSpeed:REAl; // SPN:515</v>
      </c>
    </row>
    <row r="36" spans="1:16" hidden="1" x14ac:dyDescent="0.25">
      <c r="A36">
        <v>35</v>
      </c>
      <c r="B36" t="s">
        <v>615</v>
      </c>
      <c r="C36" t="s">
        <v>739</v>
      </c>
      <c r="E36" s="35">
        <v>519</v>
      </c>
      <c r="K36" t="s">
        <v>700</v>
      </c>
      <c r="M36" t="str">
        <f t="shared" si="0"/>
        <v>EEC3_EngsDsrdOprtngSpdAsymmtryAdjstmn</v>
      </c>
      <c r="N36" t="str">
        <f t="shared" si="1"/>
        <v>GVL_J1939.EEC3_EngsDsrdOprtngSpdAsymmtryAdjstmn</v>
      </c>
      <c r="O36" t="str">
        <f t="shared" si="2"/>
        <v>GVL_J1939.EEC3_EngsDsrdOprtngSpdAsymmtryAdjstmn;</v>
      </c>
      <c r="P36" t="str">
        <f t="shared" si="3"/>
        <v>EEC3_EngsDsrdOprtngSpdAsymmtryAdjstmn:USINT; // SPN:519</v>
      </c>
    </row>
    <row r="37" spans="1:16" hidden="1" x14ac:dyDescent="0.25">
      <c r="A37">
        <v>36</v>
      </c>
      <c r="B37" t="s">
        <v>615</v>
      </c>
      <c r="C37" t="s">
        <v>740</v>
      </c>
      <c r="E37" s="35">
        <v>2978</v>
      </c>
      <c r="K37" t="s">
        <v>702</v>
      </c>
      <c r="M37" t="str">
        <f t="shared" si="0"/>
        <v>EEC3_EstEngPrsticLossesPercentTorque</v>
      </c>
      <c r="N37" t="str">
        <f t="shared" si="1"/>
        <v>GVL_J1939.EEC3_EstEngPrsticLossesPercentTorque</v>
      </c>
      <c r="O37" t="str">
        <f t="shared" si="2"/>
        <v>GVL_J1939.EEC3_EstEngPrsticLossesPercentTorque;</v>
      </c>
      <c r="P37" t="str">
        <f t="shared" si="3"/>
        <v>EEC3_EstEngPrsticLossesPercentTorque:INT; // SPN:2978</v>
      </c>
    </row>
    <row r="38" spans="1:16" hidden="1" x14ac:dyDescent="0.25">
      <c r="A38">
        <v>37</v>
      </c>
      <c r="B38" t="s">
        <v>615</v>
      </c>
      <c r="C38" t="s">
        <v>741</v>
      </c>
      <c r="E38" s="35">
        <v>3236</v>
      </c>
      <c r="K38" t="s">
        <v>701</v>
      </c>
      <c r="M38" t="str">
        <f t="shared" si="0"/>
        <v>EEC3_Aftrtratment1ExhaustGasMassFlow</v>
      </c>
      <c r="N38" t="str">
        <f t="shared" si="1"/>
        <v>GVL_J1939.EEC3_Aftrtratment1ExhaustGasMassFlow</v>
      </c>
      <c r="O38" t="str">
        <f t="shared" si="2"/>
        <v>GVL_J1939.EEC3_Aftrtratment1ExhaustGasMassFlow;</v>
      </c>
      <c r="P38" t="str">
        <f t="shared" si="3"/>
        <v>EEC3_Aftrtratment1ExhaustGasMassFlow:REAL; // SPN:3236</v>
      </c>
    </row>
    <row r="39" spans="1:16" hidden="1" x14ac:dyDescent="0.25">
      <c r="A39">
        <v>38</v>
      </c>
      <c r="B39" t="s">
        <v>615</v>
      </c>
      <c r="C39" t="s">
        <v>742</v>
      </c>
      <c r="E39" s="35">
        <v>3237</v>
      </c>
      <c r="K39" t="s">
        <v>700</v>
      </c>
      <c r="M39" t="str">
        <f t="shared" si="0"/>
        <v>EEC3_Aftertreatment1IntakeDewPoint</v>
      </c>
      <c r="N39" t="str">
        <f t="shared" si="1"/>
        <v>GVL_J1939.EEC3_Aftertreatment1IntakeDewPoint</v>
      </c>
      <c r="O39" t="str">
        <f t="shared" si="2"/>
        <v>GVL_J1939.EEC3_Aftertreatment1IntakeDewPoint;</v>
      </c>
      <c r="P39" t="str">
        <f t="shared" si="3"/>
        <v>EEC3_Aftertreatment1IntakeDewPoint:USINT; // SPN:3237</v>
      </c>
    </row>
    <row r="40" spans="1:16" hidden="1" x14ac:dyDescent="0.25">
      <c r="A40">
        <v>39</v>
      </c>
      <c r="B40" t="s">
        <v>615</v>
      </c>
      <c r="C40" t="s">
        <v>743</v>
      </c>
      <c r="E40" s="35">
        <v>3238</v>
      </c>
      <c r="K40" t="s">
        <v>700</v>
      </c>
      <c r="M40" t="str">
        <f t="shared" si="0"/>
        <v>EEC3_Aftertreatment1ExhaustDewPoint</v>
      </c>
      <c r="N40" t="str">
        <f t="shared" si="1"/>
        <v>GVL_J1939.EEC3_Aftertreatment1ExhaustDewPoint</v>
      </c>
      <c r="O40" t="str">
        <f t="shared" si="2"/>
        <v>GVL_J1939.EEC3_Aftertreatment1ExhaustDewPoint;</v>
      </c>
      <c r="P40" t="str">
        <f t="shared" si="3"/>
        <v>EEC3_Aftertreatment1ExhaustDewPoint:USINT; // SPN:3238</v>
      </c>
    </row>
    <row r="41" spans="1:16" hidden="1" x14ac:dyDescent="0.25">
      <c r="A41">
        <v>40</v>
      </c>
      <c r="B41" t="s">
        <v>615</v>
      </c>
      <c r="C41" t="s">
        <v>744</v>
      </c>
      <c r="E41" s="35">
        <v>3239</v>
      </c>
      <c r="K41" t="s">
        <v>700</v>
      </c>
      <c r="M41" t="str">
        <f t="shared" si="0"/>
        <v>EEC3_Aftertreatment2IntakeDewPoint</v>
      </c>
      <c r="N41" t="str">
        <f t="shared" si="1"/>
        <v>GVL_J1939.EEC3_Aftertreatment2IntakeDewPoint</v>
      </c>
      <c r="O41" t="str">
        <f t="shared" si="2"/>
        <v>GVL_J1939.EEC3_Aftertreatment2IntakeDewPoint;</v>
      </c>
      <c r="P41" t="str">
        <f t="shared" si="3"/>
        <v>EEC3_Aftertreatment2IntakeDewPoint:USINT; // SPN:3239</v>
      </c>
    </row>
    <row r="42" spans="1:16" hidden="1" x14ac:dyDescent="0.25">
      <c r="A42">
        <v>41</v>
      </c>
      <c r="B42" t="s">
        <v>615</v>
      </c>
      <c r="C42" t="s">
        <v>745</v>
      </c>
      <c r="E42" s="35">
        <v>3240</v>
      </c>
      <c r="K42" t="s">
        <v>700</v>
      </c>
      <c r="M42" t="str">
        <f t="shared" si="0"/>
        <v>EEC3_Aftertreatment2ExhaustDewPoint</v>
      </c>
      <c r="N42" t="str">
        <f t="shared" si="1"/>
        <v>GVL_J1939.EEC3_Aftertreatment2ExhaustDewPoint</v>
      </c>
      <c r="O42" t="str">
        <f t="shared" si="2"/>
        <v>GVL_J1939.EEC3_Aftertreatment2ExhaustDewPoint;</v>
      </c>
      <c r="P42" t="str">
        <f t="shared" si="3"/>
        <v>EEC3_Aftertreatment2ExhaustDewPoint:USINT; // SPN:3240</v>
      </c>
    </row>
    <row r="43" spans="1:16" hidden="1" x14ac:dyDescent="0.25">
      <c r="A43">
        <v>42</v>
      </c>
      <c r="B43" t="s">
        <v>663</v>
      </c>
      <c r="C43" t="s">
        <v>747</v>
      </c>
      <c r="E43" s="35">
        <v>2789</v>
      </c>
      <c r="K43" t="s">
        <v>701</v>
      </c>
      <c r="M43" t="str">
        <f t="shared" si="0"/>
        <v>EEC5_EngTrb1ClcltedTurbineIntakeTemp</v>
      </c>
      <c r="N43" t="str">
        <f t="shared" si="1"/>
        <v>GVL_J1939.EEC5_EngTrb1ClcltedTurbineIntakeTemp</v>
      </c>
      <c r="O43" t="str">
        <f t="shared" si="2"/>
        <v>GVL_J1939.EEC5_EngTrb1ClcltedTurbineIntakeTemp;</v>
      </c>
      <c r="P43" t="str">
        <f t="shared" si="3"/>
        <v>EEC5_EngTrb1ClcltedTurbineIntakeTemp:REAL; // SPN:2789</v>
      </c>
    </row>
    <row r="44" spans="1:16" hidden="1" x14ac:dyDescent="0.25">
      <c r="A44">
        <v>43</v>
      </c>
      <c r="B44" t="s">
        <v>663</v>
      </c>
      <c r="C44" t="s">
        <v>748</v>
      </c>
      <c r="E44" s="35">
        <v>2790</v>
      </c>
      <c r="K44" t="s">
        <v>701</v>
      </c>
      <c r="M44" t="str">
        <f t="shared" si="0"/>
        <v>EEC5_EngTrb1ClcltedTurbineOutletTemp</v>
      </c>
      <c r="N44" t="str">
        <f t="shared" si="1"/>
        <v>GVL_J1939.EEC5_EngTrb1ClcltedTurbineOutletTemp</v>
      </c>
      <c r="O44" t="str">
        <f t="shared" si="2"/>
        <v>GVL_J1939.EEC5_EngTrb1ClcltedTurbineOutletTemp;</v>
      </c>
      <c r="P44" t="str">
        <f t="shared" si="3"/>
        <v>EEC5_EngTrb1ClcltedTurbineOutletTemp:REAL; // SPN:2790</v>
      </c>
    </row>
    <row r="45" spans="1:16" x14ac:dyDescent="0.25">
      <c r="A45">
        <v>44</v>
      </c>
      <c r="B45" t="s">
        <v>663</v>
      </c>
      <c r="C45" t="s">
        <v>749</v>
      </c>
      <c r="E45" s="35">
        <v>2791</v>
      </c>
      <c r="F45" t="s">
        <v>402</v>
      </c>
      <c r="K45" t="s">
        <v>701</v>
      </c>
      <c r="M45" t="str">
        <f t="shared" si="0"/>
        <v>EEC5_EngExhstGsRcrculation1ValveCtrl</v>
      </c>
      <c r="N45" t="str">
        <f t="shared" si="1"/>
        <v>GVL_J1939.EEC5_EngExhstGsRcrculation1ValveCtrl</v>
      </c>
      <c r="O45" t="str">
        <f t="shared" si="2"/>
        <v>GVL_J1939.EEC5_EngExhstGsRcrculation1ValveCtrl;</v>
      </c>
      <c r="P45" t="str">
        <f t="shared" si="3"/>
        <v>EEC5_EngExhstGsRcrculation1ValveCtrl:REAL; // SPN:2791</v>
      </c>
    </row>
    <row r="46" spans="1:16" hidden="1" x14ac:dyDescent="0.25">
      <c r="A46">
        <v>45</v>
      </c>
      <c r="B46" t="s">
        <v>663</v>
      </c>
      <c r="C46" t="s">
        <v>750</v>
      </c>
      <c r="E46" s="35">
        <v>2792</v>
      </c>
      <c r="K46" t="s">
        <v>700</v>
      </c>
      <c r="M46" t="str">
        <f t="shared" si="0"/>
        <v>EEC5_EngVrblGmtryTrbArCtrlShtffValve</v>
      </c>
      <c r="N46" t="str">
        <f t="shared" si="1"/>
        <v>GVL_J1939.EEC5_EngVrblGmtryTrbArCtrlShtffValve</v>
      </c>
      <c r="O46" t="str">
        <f t="shared" si="2"/>
        <v>GVL_J1939.EEC5_EngVrblGmtryTrbArCtrlShtffValve;</v>
      </c>
      <c r="P46" t="str">
        <f t="shared" si="3"/>
        <v>EEC5_EngVrblGmtryTrbArCtrlShtffValve:USINT; // SPN:2792</v>
      </c>
    </row>
    <row r="47" spans="1:16" hidden="1" x14ac:dyDescent="0.25">
      <c r="A47">
        <v>46</v>
      </c>
      <c r="B47" t="s">
        <v>663</v>
      </c>
      <c r="C47" t="s">
        <v>751</v>
      </c>
      <c r="E47" s="35">
        <v>5457</v>
      </c>
      <c r="K47" t="s">
        <v>700</v>
      </c>
      <c r="M47" t="str">
        <f t="shared" si="0"/>
        <v>EEC5_EngVrableGeometryTurbo1CtrlMode</v>
      </c>
      <c r="N47" t="str">
        <f t="shared" si="1"/>
        <v>GVL_J1939.EEC5_EngVrableGeometryTurbo1CtrlMode</v>
      </c>
      <c r="O47" t="str">
        <f t="shared" si="2"/>
        <v>GVL_J1939.EEC5_EngVrableGeometryTurbo1CtrlMode;</v>
      </c>
      <c r="P47" t="str">
        <f t="shared" si="3"/>
        <v>EEC5_EngVrableGeometryTurbo1CtrlMode:USINT; // SPN:5457</v>
      </c>
    </row>
    <row r="48" spans="1:16" hidden="1" x14ac:dyDescent="0.25">
      <c r="A48">
        <v>47</v>
      </c>
      <c r="B48" t="s">
        <v>663</v>
      </c>
      <c r="C48" t="s">
        <v>752</v>
      </c>
      <c r="E48" s="35">
        <v>2795</v>
      </c>
      <c r="K48" t="s">
        <v>701</v>
      </c>
      <c r="M48" t="str">
        <f t="shared" si="0"/>
        <v>EEC5_EngVrblGometryTurbo1ActuatorPos</v>
      </c>
      <c r="N48" t="str">
        <f t="shared" si="1"/>
        <v>GVL_J1939.EEC5_EngVrblGometryTurbo1ActuatorPos</v>
      </c>
      <c r="O48" t="str">
        <f t="shared" si="2"/>
        <v>GVL_J1939.EEC5_EngVrblGometryTurbo1ActuatorPos;</v>
      </c>
      <c r="P48" t="str">
        <f t="shared" si="3"/>
        <v>EEC5_EngVrblGometryTurbo1ActuatorPos:REAL; // SPN:2795</v>
      </c>
    </row>
    <row r="49" spans="1:16" x14ac:dyDescent="0.25">
      <c r="A49">
        <v>48</v>
      </c>
      <c r="B49" t="s">
        <v>617</v>
      </c>
      <c r="C49" t="s">
        <v>753</v>
      </c>
      <c r="E49" s="35">
        <v>1637</v>
      </c>
      <c r="F49" t="s">
        <v>402</v>
      </c>
      <c r="K49" t="s">
        <v>702</v>
      </c>
      <c r="M49" t="str">
        <f t="shared" si="0"/>
        <v>ET1_EngCoolantTemp</v>
      </c>
      <c r="N49" t="str">
        <f t="shared" si="1"/>
        <v>GVL_J1939.ET1_EngCoolantTemp</v>
      </c>
      <c r="O49" t="str">
        <f t="shared" si="2"/>
        <v>GVL_J1939.ET1_EngCoolantTemp;</v>
      </c>
      <c r="P49" t="str">
        <f t="shared" si="3"/>
        <v>ET1_EngCoolantTemp:INT; // SPN:1637</v>
      </c>
    </row>
    <row r="50" spans="1:16" x14ac:dyDescent="0.25">
      <c r="A50">
        <v>49</v>
      </c>
      <c r="B50" t="s">
        <v>617</v>
      </c>
      <c r="C50" t="s">
        <v>754</v>
      </c>
      <c r="E50" s="35">
        <v>174</v>
      </c>
      <c r="F50" t="s">
        <v>402</v>
      </c>
      <c r="K50" t="s">
        <v>702</v>
      </c>
      <c r="M50" t="str">
        <f t="shared" si="0"/>
        <v>ET1_EngFuelTemp1</v>
      </c>
      <c r="N50" t="str">
        <f t="shared" si="1"/>
        <v>GVL_J1939.ET1_EngFuelTemp1</v>
      </c>
      <c r="O50" t="str">
        <f t="shared" si="2"/>
        <v>GVL_J1939.ET1_EngFuelTemp1;</v>
      </c>
      <c r="P50" t="str">
        <f t="shared" si="3"/>
        <v>ET1_EngFuelTemp1:INT; // SPN:174</v>
      </c>
    </row>
    <row r="51" spans="1:16" hidden="1" x14ac:dyDescent="0.25">
      <c r="A51">
        <v>50</v>
      </c>
      <c r="B51" t="s">
        <v>617</v>
      </c>
      <c r="C51" t="s">
        <v>755</v>
      </c>
      <c r="E51" s="35">
        <v>175</v>
      </c>
      <c r="K51" t="s">
        <v>701</v>
      </c>
      <c r="M51" t="str">
        <f t="shared" si="0"/>
        <v>ET1_EngOilTemp1</v>
      </c>
      <c r="N51" t="str">
        <f t="shared" si="1"/>
        <v>GVL_J1939.ET1_EngOilTemp1</v>
      </c>
      <c r="O51" t="str">
        <f t="shared" si="2"/>
        <v>GVL_J1939.ET1_EngOilTemp1;</v>
      </c>
      <c r="P51" t="str">
        <f t="shared" si="3"/>
        <v>ET1_EngOilTemp1:REAL; // SPN:175</v>
      </c>
    </row>
    <row r="52" spans="1:16" hidden="1" x14ac:dyDescent="0.25">
      <c r="A52">
        <v>51</v>
      </c>
      <c r="B52" t="s">
        <v>617</v>
      </c>
      <c r="C52" t="s">
        <v>756</v>
      </c>
      <c r="E52" s="35">
        <v>176</v>
      </c>
      <c r="K52" t="s">
        <v>701</v>
      </c>
      <c r="M52" t="str">
        <f t="shared" si="0"/>
        <v>ET1_EngTurboOilTemp</v>
      </c>
      <c r="N52" t="str">
        <f t="shared" si="1"/>
        <v>GVL_J1939.ET1_EngTurboOilTemp</v>
      </c>
      <c r="O52" t="str">
        <f t="shared" si="2"/>
        <v>GVL_J1939.ET1_EngTurboOilTemp;</v>
      </c>
      <c r="P52" t="str">
        <f t="shared" si="3"/>
        <v>ET1_EngTurboOilTemp:REAL; // SPN:176</v>
      </c>
    </row>
    <row r="53" spans="1:16" hidden="1" x14ac:dyDescent="0.25">
      <c r="A53">
        <v>52</v>
      </c>
      <c r="B53" t="s">
        <v>617</v>
      </c>
      <c r="C53" t="s">
        <v>757</v>
      </c>
      <c r="E53" s="35">
        <v>52</v>
      </c>
      <c r="K53" t="s">
        <v>702</v>
      </c>
      <c r="M53" t="str">
        <f t="shared" si="0"/>
        <v>ET1_EngIntercoolerTemp</v>
      </c>
      <c r="N53" t="str">
        <f t="shared" si="1"/>
        <v>GVL_J1939.ET1_EngIntercoolerTemp</v>
      </c>
      <c r="O53" t="str">
        <f t="shared" si="2"/>
        <v>GVL_J1939.ET1_EngIntercoolerTemp;</v>
      </c>
      <c r="P53" t="str">
        <f t="shared" si="3"/>
        <v>ET1_EngIntercoolerTemp:INT; // SPN:52</v>
      </c>
    </row>
    <row r="54" spans="1:16" hidden="1" x14ac:dyDescent="0.25">
      <c r="A54">
        <v>53</v>
      </c>
      <c r="B54" t="s">
        <v>617</v>
      </c>
      <c r="C54" t="s">
        <v>758</v>
      </c>
      <c r="E54" s="35">
        <v>1134</v>
      </c>
      <c r="K54" t="s">
        <v>701</v>
      </c>
      <c r="M54" t="str">
        <f t="shared" si="0"/>
        <v>ET1_EngIntercoolerThermostatOpening</v>
      </c>
      <c r="N54" t="str">
        <f t="shared" si="1"/>
        <v>GVL_J1939.ET1_EngIntercoolerThermostatOpening</v>
      </c>
      <c r="O54" t="str">
        <f t="shared" si="2"/>
        <v>GVL_J1939.ET1_EngIntercoolerThermostatOpening;</v>
      </c>
      <c r="P54" t="str">
        <f t="shared" si="3"/>
        <v>ET1_EngIntercoolerThermostatOpening:REAL; // SPN:1134</v>
      </c>
    </row>
    <row r="55" spans="1:16" hidden="1" x14ac:dyDescent="0.25">
      <c r="A55">
        <v>54</v>
      </c>
      <c r="B55" t="s">
        <v>767</v>
      </c>
      <c r="C55" t="s">
        <v>759</v>
      </c>
      <c r="E55" s="35">
        <v>94</v>
      </c>
      <c r="K55" t="s">
        <v>766</v>
      </c>
      <c r="M55" t="str">
        <f t="shared" si="0"/>
        <v>EFL_P1_EngFuelDeliveryPress</v>
      </c>
      <c r="N55" t="str">
        <f t="shared" si="1"/>
        <v>GVL_J1939.EFL_P1_EngFuelDeliveryPress</v>
      </c>
      <c r="O55" t="str">
        <f t="shared" si="2"/>
        <v>GVL_J1939.EFL_P1_EngFuelDeliveryPress;</v>
      </c>
      <c r="P55" t="str">
        <f t="shared" si="3"/>
        <v>EFL_P1_EngFuelDeliveryPress:UINT; // SPN:94</v>
      </c>
    </row>
    <row r="56" spans="1:16" hidden="1" x14ac:dyDescent="0.25">
      <c r="A56">
        <v>55</v>
      </c>
      <c r="B56" t="s">
        <v>767</v>
      </c>
      <c r="C56" t="s">
        <v>760</v>
      </c>
      <c r="E56" s="35">
        <v>22</v>
      </c>
      <c r="K56" t="s">
        <v>701</v>
      </c>
      <c r="M56" t="str">
        <f t="shared" si="0"/>
        <v>EFL_P1_EngExCrankcaseBlowbyPress</v>
      </c>
      <c r="N56" t="str">
        <f t="shared" si="1"/>
        <v>GVL_J1939.EFL_P1_EngExCrankcaseBlowbyPress</v>
      </c>
      <c r="O56" t="str">
        <f t="shared" si="2"/>
        <v>GVL_J1939.EFL_P1_EngExCrankcaseBlowbyPress;</v>
      </c>
      <c r="P56" t="str">
        <f t="shared" si="3"/>
        <v>EFL_P1_EngExCrankcaseBlowbyPress:REAL; // SPN:22</v>
      </c>
    </row>
    <row r="57" spans="1:16" hidden="1" x14ac:dyDescent="0.25">
      <c r="A57">
        <v>56</v>
      </c>
      <c r="B57" t="s">
        <v>767</v>
      </c>
      <c r="C57" t="s">
        <v>761</v>
      </c>
      <c r="E57" s="35">
        <v>98</v>
      </c>
      <c r="K57" t="s">
        <v>701</v>
      </c>
      <c r="M57" t="str">
        <f t="shared" si="0"/>
        <v>EFL_P1_EngOilLevel</v>
      </c>
      <c r="N57" t="str">
        <f t="shared" si="1"/>
        <v>GVL_J1939.EFL_P1_EngOilLevel</v>
      </c>
      <c r="O57" t="str">
        <f t="shared" si="2"/>
        <v>GVL_J1939.EFL_P1_EngOilLevel;</v>
      </c>
      <c r="P57" t="str">
        <f t="shared" si="3"/>
        <v>EFL_P1_EngOilLevel:REAL; // SPN:98</v>
      </c>
    </row>
    <row r="58" spans="1:16" x14ac:dyDescent="0.25">
      <c r="A58">
        <v>57</v>
      </c>
      <c r="B58" t="s">
        <v>767</v>
      </c>
      <c r="C58" t="s">
        <v>762</v>
      </c>
      <c r="E58" s="35">
        <v>100</v>
      </c>
      <c r="F58" t="s">
        <v>402</v>
      </c>
      <c r="K58" t="s">
        <v>766</v>
      </c>
      <c r="M58" t="str">
        <f t="shared" si="0"/>
        <v>EFL_P1_EngOilPress</v>
      </c>
      <c r="N58" t="str">
        <f t="shared" si="1"/>
        <v>GVL_J1939.EFL_P1_EngOilPress</v>
      </c>
      <c r="O58" t="str">
        <f t="shared" si="2"/>
        <v>GVL_J1939.EFL_P1_EngOilPress;</v>
      </c>
      <c r="P58" t="str">
        <f t="shared" si="3"/>
        <v>EFL_P1_EngOilPress:UINT; // SPN:100</v>
      </c>
    </row>
    <row r="59" spans="1:16" hidden="1" x14ac:dyDescent="0.25">
      <c r="A59">
        <v>58</v>
      </c>
      <c r="B59" t="s">
        <v>767</v>
      </c>
      <c r="C59" t="s">
        <v>763</v>
      </c>
      <c r="E59" s="35">
        <v>101</v>
      </c>
      <c r="K59" t="s">
        <v>746</v>
      </c>
      <c r="M59" t="str">
        <f t="shared" si="0"/>
        <v>EFL_P1_EngCrankcasePress</v>
      </c>
      <c r="N59" t="str">
        <f t="shared" si="1"/>
        <v>GVL_J1939.EFL_P1_EngCrankcasePress</v>
      </c>
      <c r="O59" t="str">
        <f t="shared" si="2"/>
        <v>GVL_J1939.EFL_P1_EngCrankcasePress;</v>
      </c>
      <c r="P59" t="str">
        <f t="shared" si="3"/>
        <v>EFL_P1_EngCrankcasePress:REAl; // SPN:101</v>
      </c>
    </row>
    <row r="60" spans="1:16" hidden="1" x14ac:dyDescent="0.25">
      <c r="A60">
        <v>59</v>
      </c>
      <c r="B60" t="s">
        <v>767</v>
      </c>
      <c r="C60" t="s">
        <v>764</v>
      </c>
      <c r="E60" s="35">
        <v>109</v>
      </c>
      <c r="K60" t="s">
        <v>766</v>
      </c>
      <c r="M60" t="str">
        <f t="shared" si="0"/>
        <v>EFL_P1_EngCoolantPress</v>
      </c>
      <c r="N60" t="str">
        <f t="shared" si="1"/>
        <v>GVL_J1939.EFL_P1_EngCoolantPress</v>
      </c>
      <c r="O60" t="str">
        <f t="shared" si="2"/>
        <v>GVL_J1939.EFL_P1_EngCoolantPress;</v>
      </c>
      <c r="P60" t="str">
        <f t="shared" si="3"/>
        <v>EFL_P1_EngCoolantPress:UINT; // SPN:109</v>
      </c>
    </row>
    <row r="61" spans="1:16" x14ac:dyDescent="0.25">
      <c r="A61">
        <v>60</v>
      </c>
      <c r="B61" t="s">
        <v>767</v>
      </c>
      <c r="C61" t="s">
        <v>765</v>
      </c>
      <c r="E61" s="35">
        <v>111</v>
      </c>
      <c r="F61" t="s">
        <v>402</v>
      </c>
      <c r="K61" t="s">
        <v>701</v>
      </c>
      <c r="M61" t="str">
        <f t="shared" si="0"/>
        <v>EFL_P1_EngCoolantLevel</v>
      </c>
      <c r="N61" t="str">
        <f t="shared" si="1"/>
        <v>GVL_J1939.EFL_P1_EngCoolantLevel</v>
      </c>
      <c r="O61" t="str">
        <f t="shared" si="2"/>
        <v>GVL_J1939.EFL_P1_EngCoolantLevel;</v>
      </c>
      <c r="P61" t="str">
        <f t="shared" si="3"/>
        <v>EFL_P1_EngCoolantLevel:REAL; // SPN:111</v>
      </c>
    </row>
    <row r="62" spans="1:16" hidden="1" x14ac:dyDescent="0.25">
      <c r="A62">
        <v>61</v>
      </c>
      <c r="B62" t="s">
        <v>689</v>
      </c>
      <c r="C62" t="s">
        <v>768</v>
      </c>
      <c r="E62" s="35">
        <v>164</v>
      </c>
      <c r="K62" t="s">
        <v>772</v>
      </c>
      <c r="M62" t="str">
        <f t="shared" si="0"/>
        <v>EFL_P2_EngInjectionCtrlPress</v>
      </c>
      <c r="N62" t="str">
        <f t="shared" si="1"/>
        <v>GVL_J1939.EFL_P2_EngInjectionCtrlPress</v>
      </c>
      <c r="O62" t="str">
        <f t="shared" si="2"/>
        <v>GVL_J1939.EFL_P2_EngInjectionCtrlPress;</v>
      </c>
      <c r="P62" t="str">
        <f t="shared" si="3"/>
        <v>EFL_P2_EngInjectionCtrlPress:LREAL; // SPN:164</v>
      </c>
    </row>
    <row r="63" spans="1:16" x14ac:dyDescent="0.25">
      <c r="A63">
        <v>62</v>
      </c>
      <c r="B63" t="s">
        <v>689</v>
      </c>
      <c r="C63" t="s">
        <v>769</v>
      </c>
      <c r="E63" s="35">
        <v>157</v>
      </c>
      <c r="F63" t="s">
        <v>402</v>
      </c>
      <c r="K63" t="s">
        <v>772</v>
      </c>
      <c r="M63" t="str">
        <f t="shared" si="0"/>
        <v>EFL_P2_EngInjectorMeteringRail1Press</v>
      </c>
      <c r="N63" t="str">
        <f t="shared" si="1"/>
        <v>GVL_J1939.EFL_P2_EngInjectorMeteringRail1Press</v>
      </c>
      <c r="O63" t="str">
        <f t="shared" si="2"/>
        <v>GVL_J1939.EFL_P2_EngInjectorMeteringRail1Press;</v>
      </c>
      <c r="P63" t="str">
        <f t="shared" si="3"/>
        <v>EFL_P2_EngInjectorMeteringRail1Press:LREAL; // SPN:157</v>
      </c>
    </row>
    <row r="64" spans="1:16" hidden="1" x14ac:dyDescent="0.25">
      <c r="A64">
        <v>63</v>
      </c>
      <c r="B64" t="s">
        <v>689</v>
      </c>
      <c r="C64" t="s">
        <v>770</v>
      </c>
      <c r="E64" s="35">
        <v>156</v>
      </c>
      <c r="K64" t="s">
        <v>772</v>
      </c>
      <c r="M64" t="str">
        <f t="shared" si="0"/>
        <v>EFL_P2_EngInjectorTimingRail1Press</v>
      </c>
      <c r="N64" t="str">
        <f t="shared" si="1"/>
        <v>GVL_J1939.EFL_P2_EngInjectorTimingRail1Press</v>
      </c>
      <c r="O64" t="str">
        <f t="shared" si="2"/>
        <v>GVL_J1939.EFL_P2_EngInjectorTimingRail1Press;</v>
      </c>
      <c r="P64" t="str">
        <f t="shared" si="3"/>
        <v>EFL_P2_EngInjectorTimingRail1Press:LREAL; // SPN:156</v>
      </c>
    </row>
    <row r="65" spans="1:16" hidden="1" x14ac:dyDescent="0.25">
      <c r="A65">
        <v>64</v>
      </c>
      <c r="B65" t="s">
        <v>689</v>
      </c>
      <c r="C65" t="s">
        <v>771</v>
      </c>
      <c r="E65" s="35">
        <v>1349</v>
      </c>
      <c r="K65" t="s">
        <v>772</v>
      </c>
      <c r="M65" t="str">
        <f t="shared" si="0"/>
        <v>EFL_P2_EngInjectorMeteringRail2Press</v>
      </c>
      <c r="N65" t="str">
        <f t="shared" si="1"/>
        <v>GVL_J1939.EFL_P2_EngInjectorMeteringRail2Press</v>
      </c>
      <c r="O65" t="str">
        <f t="shared" si="2"/>
        <v>GVL_J1939.EFL_P2_EngInjectorMeteringRail2Press;</v>
      </c>
      <c r="P65" t="str">
        <f t="shared" si="3"/>
        <v>EFL_P2_EngInjectorMeteringRail2Press:LREAL; // SPN:1349</v>
      </c>
    </row>
    <row r="66" spans="1:16" hidden="1" x14ac:dyDescent="0.25">
      <c r="A66">
        <v>65</v>
      </c>
      <c r="B66" t="s">
        <v>620</v>
      </c>
      <c r="C66" t="s">
        <v>773</v>
      </c>
      <c r="E66" s="35">
        <v>182</v>
      </c>
      <c r="K66" t="s">
        <v>701</v>
      </c>
      <c r="M66" t="str">
        <f t="shared" si="0"/>
        <v>LFC_EngTripFuel</v>
      </c>
      <c r="N66" t="str">
        <f t="shared" si="1"/>
        <v>GVL_J1939.LFC_EngTripFuel</v>
      </c>
      <c r="O66" t="str">
        <f t="shared" si="2"/>
        <v>GVL_J1939.LFC_EngTripFuel;</v>
      </c>
      <c r="P66" t="str">
        <f t="shared" si="3"/>
        <v>LFC_EngTripFuel:REAL; // SPN:182</v>
      </c>
    </row>
    <row r="67" spans="1:16" x14ac:dyDescent="0.25">
      <c r="A67">
        <v>66</v>
      </c>
      <c r="B67" t="s">
        <v>620</v>
      </c>
      <c r="C67" t="s">
        <v>774</v>
      </c>
      <c r="E67" s="35">
        <v>250</v>
      </c>
      <c r="F67" t="s">
        <v>402</v>
      </c>
      <c r="K67" t="s">
        <v>701</v>
      </c>
      <c r="M67" t="str">
        <f t="shared" ref="M67:M130" si="4">IF(C67&lt;&gt;"",_xlfn.CONCAT(B67,"_",C67),"")</f>
        <v>LFC_EngTotalFuelUsed</v>
      </c>
      <c r="N67" t="str">
        <f t="shared" ref="N67:N130" si="5">_xlfn.CONCAT($N$1,M67)</f>
        <v>GVL_J1939.LFC_EngTotalFuelUsed</v>
      </c>
      <c r="O67" t="str">
        <f t="shared" ref="O67:O130" si="6">_xlfn.CONCAT(N67,";")</f>
        <v>GVL_J1939.LFC_EngTotalFuelUsed;</v>
      </c>
      <c r="P67" t="str">
        <f t="shared" ref="P67:P130" si="7">_xlfn.CONCAT(M67,":",K67,"; // SPN:",E67)</f>
        <v>LFC_EngTotalFuelUsed:REAL; // SPN:250</v>
      </c>
    </row>
    <row r="68" spans="1:16" x14ac:dyDescent="0.25">
      <c r="A68">
        <v>67</v>
      </c>
      <c r="B68" t="s">
        <v>647</v>
      </c>
      <c r="C68" t="s">
        <v>775</v>
      </c>
      <c r="E68" s="35">
        <v>108</v>
      </c>
      <c r="F68" t="s">
        <v>402</v>
      </c>
      <c r="K68" t="s">
        <v>701</v>
      </c>
      <c r="M68" t="str">
        <f t="shared" si="4"/>
        <v>AMB_BarometricPress</v>
      </c>
      <c r="N68" t="str">
        <f t="shared" si="5"/>
        <v>GVL_J1939.AMB_BarometricPress</v>
      </c>
      <c r="O68" t="str">
        <f t="shared" si="6"/>
        <v>GVL_J1939.AMB_BarometricPress;</v>
      </c>
      <c r="P68" t="str">
        <f t="shared" si="7"/>
        <v>AMB_BarometricPress:REAL; // SPN:108</v>
      </c>
    </row>
    <row r="69" spans="1:16" hidden="1" x14ac:dyDescent="0.25">
      <c r="A69">
        <v>68</v>
      </c>
      <c r="B69" t="s">
        <v>647</v>
      </c>
      <c r="C69" t="s">
        <v>776</v>
      </c>
      <c r="E69" s="35">
        <v>170</v>
      </c>
      <c r="K69" t="s">
        <v>701</v>
      </c>
      <c r="M69" t="str">
        <f t="shared" si="4"/>
        <v>AMB_CabInteriorTemp</v>
      </c>
      <c r="N69" t="str">
        <f t="shared" si="5"/>
        <v>GVL_J1939.AMB_CabInteriorTemp</v>
      </c>
      <c r="O69" t="str">
        <f t="shared" si="6"/>
        <v>GVL_J1939.AMB_CabInteriorTemp;</v>
      </c>
      <c r="P69" t="str">
        <f t="shared" si="7"/>
        <v>AMB_CabInteriorTemp:REAL; // SPN:170</v>
      </c>
    </row>
    <row r="70" spans="1:16" x14ac:dyDescent="0.25">
      <c r="A70">
        <v>69</v>
      </c>
      <c r="B70" t="s">
        <v>647</v>
      </c>
      <c r="C70" t="s">
        <v>777</v>
      </c>
      <c r="E70" s="35">
        <v>171</v>
      </c>
      <c r="F70" t="s">
        <v>402</v>
      </c>
      <c r="K70" t="s">
        <v>701</v>
      </c>
      <c r="M70" t="str">
        <f t="shared" si="4"/>
        <v>AMB_AmbientAirTemp</v>
      </c>
      <c r="N70" t="str">
        <f t="shared" si="5"/>
        <v>GVL_J1939.AMB_AmbientAirTemp</v>
      </c>
      <c r="O70" t="str">
        <f t="shared" si="6"/>
        <v>GVL_J1939.AMB_AmbientAirTemp;</v>
      </c>
      <c r="P70" t="str">
        <f t="shared" si="7"/>
        <v>AMB_AmbientAirTemp:REAL; // SPN:171</v>
      </c>
    </row>
    <row r="71" spans="1:16" x14ac:dyDescent="0.25">
      <c r="A71">
        <v>70</v>
      </c>
      <c r="B71" t="s">
        <v>647</v>
      </c>
      <c r="C71" t="s">
        <v>778</v>
      </c>
      <c r="E71" s="35">
        <v>172</v>
      </c>
      <c r="F71" t="s">
        <v>402</v>
      </c>
      <c r="K71" t="s">
        <v>702</v>
      </c>
      <c r="M71" t="str">
        <f t="shared" si="4"/>
        <v>AMB_EngAirIntakeTemp</v>
      </c>
      <c r="N71" t="str">
        <f t="shared" si="5"/>
        <v>GVL_J1939.AMB_EngAirIntakeTemp</v>
      </c>
      <c r="O71" t="str">
        <f t="shared" si="6"/>
        <v>GVL_J1939.AMB_EngAirIntakeTemp;</v>
      </c>
      <c r="P71" t="str">
        <f t="shared" si="7"/>
        <v>AMB_EngAirIntakeTemp:INT; // SPN:172</v>
      </c>
    </row>
    <row r="72" spans="1:16" hidden="1" x14ac:dyDescent="0.25">
      <c r="A72">
        <v>71</v>
      </c>
      <c r="B72" t="s">
        <v>647</v>
      </c>
      <c r="C72" t="s">
        <v>779</v>
      </c>
      <c r="E72" s="35">
        <v>79</v>
      </c>
      <c r="K72" t="s">
        <v>701</v>
      </c>
      <c r="M72" t="str">
        <f t="shared" si="4"/>
        <v>AMB_RoadSurfaceTemp</v>
      </c>
      <c r="N72" t="str">
        <f t="shared" si="5"/>
        <v>GVL_J1939.AMB_RoadSurfaceTemp</v>
      </c>
      <c r="O72" t="str">
        <f t="shared" si="6"/>
        <v>GVL_J1939.AMB_RoadSurfaceTemp;</v>
      </c>
      <c r="P72" t="str">
        <f t="shared" si="7"/>
        <v>AMB_RoadSurfaceTemp:REAL; // SPN:79</v>
      </c>
    </row>
    <row r="73" spans="1:16" hidden="1" x14ac:dyDescent="0.25">
      <c r="A73">
        <v>72</v>
      </c>
      <c r="B73" t="s">
        <v>787</v>
      </c>
      <c r="C73" t="s">
        <v>780</v>
      </c>
      <c r="E73" s="35">
        <v>81</v>
      </c>
      <c r="K73" t="s">
        <v>701</v>
      </c>
      <c r="M73" t="str">
        <f t="shared" si="4"/>
        <v>IC1_EngDslPrtclateFilterIntakePress</v>
      </c>
      <c r="N73" t="str">
        <f t="shared" si="5"/>
        <v>GVL_J1939.IC1_EngDslPrtclateFilterIntakePress</v>
      </c>
      <c r="O73" t="str">
        <f t="shared" si="6"/>
        <v>GVL_J1939.IC1_EngDslPrtclateFilterIntakePress;</v>
      </c>
      <c r="P73" t="str">
        <f t="shared" si="7"/>
        <v>IC1_EngDslPrtclateFilterIntakePress:REAL; // SPN:81</v>
      </c>
    </row>
    <row r="74" spans="1:16" x14ac:dyDescent="0.25">
      <c r="A74">
        <v>73</v>
      </c>
      <c r="B74" t="s">
        <v>787</v>
      </c>
      <c r="C74" t="s">
        <v>781</v>
      </c>
      <c r="E74" s="35">
        <v>102</v>
      </c>
      <c r="F74" t="s">
        <v>402</v>
      </c>
      <c r="K74" t="s">
        <v>766</v>
      </c>
      <c r="M74" t="str">
        <f t="shared" si="4"/>
        <v>IC1_EngIntakeManifold1Press</v>
      </c>
      <c r="N74" t="str">
        <f t="shared" si="5"/>
        <v>GVL_J1939.IC1_EngIntakeManifold1Press</v>
      </c>
      <c r="O74" t="str">
        <f t="shared" si="6"/>
        <v>GVL_J1939.IC1_EngIntakeManifold1Press;</v>
      </c>
      <c r="P74" t="str">
        <f t="shared" si="7"/>
        <v>IC1_EngIntakeManifold1Press:UINT; // SPN:102</v>
      </c>
    </row>
    <row r="75" spans="1:16" x14ac:dyDescent="0.25">
      <c r="A75">
        <v>74</v>
      </c>
      <c r="B75" t="s">
        <v>787</v>
      </c>
      <c r="C75" t="s">
        <v>782</v>
      </c>
      <c r="E75" s="35">
        <v>105</v>
      </c>
      <c r="F75" t="s">
        <v>402</v>
      </c>
      <c r="K75" t="s">
        <v>702</v>
      </c>
      <c r="M75" t="str">
        <f t="shared" si="4"/>
        <v>IC1_EngIntakeManifold1Temp</v>
      </c>
      <c r="N75" t="str">
        <f t="shared" si="5"/>
        <v>GVL_J1939.IC1_EngIntakeManifold1Temp</v>
      </c>
      <c r="O75" t="str">
        <f t="shared" si="6"/>
        <v>GVL_J1939.IC1_EngIntakeManifold1Temp;</v>
      </c>
      <c r="P75" t="str">
        <f t="shared" si="7"/>
        <v>IC1_EngIntakeManifold1Temp:INT; // SPN:105</v>
      </c>
    </row>
    <row r="76" spans="1:16" x14ac:dyDescent="0.25">
      <c r="A76">
        <v>75</v>
      </c>
      <c r="B76" t="s">
        <v>787</v>
      </c>
      <c r="C76" t="s">
        <v>783</v>
      </c>
      <c r="E76" s="35">
        <v>106</v>
      </c>
      <c r="F76" t="s">
        <v>402</v>
      </c>
      <c r="K76" t="s">
        <v>766</v>
      </c>
      <c r="M76" t="str">
        <f t="shared" si="4"/>
        <v>IC1_EngAirIntakePress</v>
      </c>
      <c r="N76" t="str">
        <f t="shared" si="5"/>
        <v>GVL_J1939.IC1_EngAirIntakePress</v>
      </c>
      <c r="O76" t="str">
        <f t="shared" si="6"/>
        <v>GVL_J1939.IC1_EngAirIntakePress;</v>
      </c>
      <c r="P76" t="str">
        <f t="shared" si="7"/>
        <v>IC1_EngAirIntakePress:UINT; // SPN:106</v>
      </c>
    </row>
    <row r="77" spans="1:16" hidden="1" x14ac:dyDescent="0.25">
      <c r="A77">
        <v>76</v>
      </c>
      <c r="B77" t="s">
        <v>787</v>
      </c>
      <c r="C77" t="s">
        <v>784</v>
      </c>
      <c r="E77" s="35">
        <v>107</v>
      </c>
      <c r="K77" t="s">
        <v>701</v>
      </c>
      <c r="M77" t="str">
        <f t="shared" si="4"/>
        <v>IC1_EngAirFilter1DiffPress</v>
      </c>
      <c r="N77" t="str">
        <f t="shared" si="5"/>
        <v>GVL_J1939.IC1_EngAirFilter1DiffPress</v>
      </c>
      <c r="O77" t="str">
        <f t="shared" si="6"/>
        <v>GVL_J1939.IC1_EngAirFilter1DiffPress;</v>
      </c>
      <c r="P77" t="str">
        <f t="shared" si="7"/>
        <v>IC1_EngAirFilter1DiffPress:REAL; // SPN:107</v>
      </c>
    </row>
    <row r="78" spans="1:16" hidden="1" x14ac:dyDescent="0.25">
      <c r="A78">
        <v>77</v>
      </c>
      <c r="B78" t="s">
        <v>787</v>
      </c>
      <c r="C78" t="s">
        <v>785</v>
      </c>
      <c r="E78" s="35">
        <v>173</v>
      </c>
      <c r="K78" t="s">
        <v>701</v>
      </c>
      <c r="M78" t="str">
        <f t="shared" si="4"/>
        <v>IC1_EngExhaustGasTemp</v>
      </c>
      <c r="N78" t="str">
        <f t="shared" si="5"/>
        <v>GVL_J1939.IC1_EngExhaustGasTemp</v>
      </c>
      <c r="O78" t="str">
        <f t="shared" si="6"/>
        <v>GVL_J1939.IC1_EngExhaustGasTemp;</v>
      </c>
      <c r="P78" t="str">
        <f t="shared" si="7"/>
        <v>IC1_EngExhaustGasTemp:REAL; // SPN:173</v>
      </c>
    </row>
    <row r="79" spans="1:16" hidden="1" x14ac:dyDescent="0.25">
      <c r="A79">
        <v>78</v>
      </c>
      <c r="B79" t="s">
        <v>787</v>
      </c>
      <c r="C79" t="s">
        <v>786</v>
      </c>
      <c r="E79" s="35">
        <v>112</v>
      </c>
      <c r="K79" t="s">
        <v>701</v>
      </c>
      <c r="M79" t="str">
        <f t="shared" si="4"/>
        <v>IC1_EngCoolantFilterDiffPress</v>
      </c>
      <c r="N79" t="str">
        <f t="shared" si="5"/>
        <v>GVL_J1939.IC1_EngCoolantFilterDiffPress</v>
      </c>
      <c r="O79" t="str">
        <f t="shared" si="6"/>
        <v>GVL_J1939.IC1_EngCoolantFilterDiffPress;</v>
      </c>
      <c r="P79" t="str">
        <f t="shared" si="7"/>
        <v>IC1_EngCoolantFilterDiffPress:REAL; // SPN:112</v>
      </c>
    </row>
    <row r="80" spans="1:16" hidden="1" x14ac:dyDescent="0.25">
      <c r="A80">
        <v>79</v>
      </c>
      <c r="B80" t="s">
        <v>645</v>
      </c>
      <c r="C80" t="s">
        <v>788</v>
      </c>
      <c r="E80" s="35">
        <v>114</v>
      </c>
      <c r="K80" t="s">
        <v>702</v>
      </c>
      <c r="M80" t="str">
        <f t="shared" si="4"/>
        <v>VEP1_NetBatteryCurrent</v>
      </c>
      <c r="N80" t="str">
        <f t="shared" si="5"/>
        <v>GVL_J1939.VEP1_NetBatteryCurrent</v>
      </c>
      <c r="O80" t="str">
        <f t="shared" si="6"/>
        <v>GVL_J1939.VEP1_NetBatteryCurrent;</v>
      </c>
      <c r="P80" t="str">
        <f t="shared" si="7"/>
        <v>VEP1_NetBatteryCurrent:INT; // SPN:114</v>
      </c>
    </row>
    <row r="81" spans="1:16" hidden="1" x14ac:dyDescent="0.25">
      <c r="A81">
        <v>80</v>
      </c>
      <c r="B81" t="s">
        <v>645</v>
      </c>
      <c r="C81" t="s">
        <v>789</v>
      </c>
      <c r="E81" s="35">
        <v>115</v>
      </c>
      <c r="K81" t="s">
        <v>700</v>
      </c>
      <c r="M81" t="str">
        <f t="shared" si="4"/>
        <v>VEP1_AltCurrent</v>
      </c>
      <c r="N81" t="str">
        <f t="shared" si="5"/>
        <v>GVL_J1939.VEP1_AltCurrent</v>
      </c>
      <c r="O81" t="str">
        <f t="shared" si="6"/>
        <v>GVL_J1939.VEP1_AltCurrent;</v>
      </c>
      <c r="P81" t="str">
        <f t="shared" si="7"/>
        <v>VEP1_AltCurrent:USINT; // SPN:115</v>
      </c>
    </row>
    <row r="82" spans="1:16" hidden="1" x14ac:dyDescent="0.25">
      <c r="A82">
        <v>81</v>
      </c>
      <c r="B82" t="s">
        <v>645</v>
      </c>
      <c r="C82" t="s">
        <v>790</v>
      </c>
      <c r="E82" s="35">
        <v>167</v>
      </c>
      <c r="K82" t="s">
        <v>746</v>
      </c>
      <c r="M82" t="str">
        <f t="shared" si="4"/>
        <v>VEP1_ChargingSystemPotential</v>
      </c>
      <c r="N82" t="str">
        <f t="shared" si="5"/>
        <v>GVL_J1939.VEP1_ChargingSystemPotential</v>
      </c>
      <c r="O82" t="str">
        <f t="shared" si="6"/>
        <v>GVL_J1939.VEP1_ChargingSystemPotential;</v>
      </c>
      <c r="P82" t="str">
        <f t="shared" si="7"/>
        <v>VEP1_ChargingSystemPotential:REAl; // SPN:167</v>
      </c>
    </row>
    <row r="83" spans="1:16" x14ac:dyDescent="0.25">
      <c r="A83">
        <v>82</v>
      </c>
      <c r="B83" t="s">
        <v>645</v>
      </c>
      <c r="C83" t="s">
        <v>791</v>
      </c>
      <c r="E83" s="35">
        <v>168</v>
      </c>
      <c r="F83" t="s">
        <v>402</v>
      </c>
      <c r="K83" t="s">
        <v>701</v>
      </c>
      <c r="M83" t="str">
        <f t="shared" si="4"/>
        <v>VEP1_BatteryPotential_PowerInput1</v>
      </c>
      <c r="N83" t="str">
        <f t="shared" si="5"/>
        <v>GVL_J1939.VEP1_BatteryPotential_PowerInput1</v>
      </c>
      <c r="O83" t="str">
        <f t="shared" si="6"/>
        <v>GVL_J1939.VEP1_BatteryPotential_PowerInput1;</v>
      </c>
      <c r="P83" t="str">
        <f t="shared" si="7"/>
        <v>VEP1_BatteryPotential_PowerInput1:REAL; // SPN:168</v>
      </c>
    </row>
    <row r="84" spans="1:16" x14ac:dyDescent="0.25">
      <c r="A84">
        <v>83</v>
      </c>
      <c r="B84" t="s">
        <v>645</v>
      </c>
      <c r="C84" t="s">
        <v>792</v>
      </c>
      <c r="E84" s="35">
        <v>158</v>
      </c>
      <c r="F84" t="s">
        <v>402</v>
      </c>
      <c r="K84" t="s">
        <v>701</v>
      </c>
      <c r="M84" t="str">
        <f t="shared" si="4"/>
        <v>VEP1_KeyswitchBatteryPotential</v>
      </c>
      <c r="N84" t="str">
        <f t="shared" si="5"/>
        <v>GVL_J1939.VEP1_KeyswitchBatteryPotential</v>
      </c>
      <c r="O84" t="str">
        <f t="shared" si="6"/>
        <v>GVL_J1939.VEP1_KeyswitchBatteryPotential;</v>
      </c>
      <c r="P84" t="str">
        <f t="shared" si="7"/>
        <v>VEP1_KeyswitchBatteryPotential:REAL; // SPN:158</v>
      </c>
    </row>
    <row r="85" spans="1:16" hidden="1" x14ac:dyDescent="0.25">
      <c r="A85">
        <v>84</v>
      </c>
      <c r="B85" t="s">
        <v>655</v>
      </c>
      <c r="C85" t="s">
        <v>793</v>
      </c>
      <c r="E85" s="35">
        <v>1380</v>
      </c>
      <c r="K85" t="s">
        <v>701</v>
      </c>
      <c r="M85" t="str">
        <f t="shared" si="4"/>
        <v>EFS_EngOilLevelRemoteReservoir</v>
      </c>
      <c r="N85" t="str">
        <f t="shared" si="5"/>
        <v>GVL_J1939.EFS_EngOilLevelRemoteReservoir</v>
      </c>
      <c r="O85" t="str">
        <f t="shared" si="6"/>
        <v>GVL_J1939.EFS_EngOilLevelRemoteReservoir;</v>
      </c>
      <c r="P85" t="str">
        <f t="shared" si="7"/>
        <v>EFS_EngOilLevelRemoteReservoir:REAL; // SPN:1380</v>
      </c>
    </row>
    <row r="86" spans="1:16" hidden="1" x14ac:dyDescent="0.25">
      <c r="A86">
        <v>85</v>
      </c>
      <c r="B86" t="s">
        <v>655</v>
      </c>
      <c r="C86" t="s">
        <v>794</v>
      </c>
      <c r="E86" s="35">
        <v>1381</v>
      </c>
      <c r="K86" t="s">
        <v>766</v>
      </c>
      <c r="M86" t="str">
        <f t="shared" si="4"/>
        <v>EFS_EngFuelSupplyPumpIntakePress</v>
      </c>
      <c r="N86" t="str">
        <f t="shared" si="5"/>
        <v>GVL_J1939.EFS_EngFuelSupplyPumpIntakePress</v>
      </c>
      <c r="O86" t="str">
        <f t="shared" si="6"/>
        <v>GVL_J1939.EFS_EngFuelSupplyPumpIntakePress;</v>
      </c>
      <c r="P86" t="str">
        <f t="shared" si="7"/>
        <v>EFS_EngFuelSupplyPumpIntakePress:UINT; // SPN:1381</v>
      </c>
    </row>
    <row r="87" spans="1:16" hidden="1" x14ac:dyDescent="0.25">
      <c r="A87">
        <v>86</v>
      </c>
      <c r="B87" t="s">
        <v>655</v>
      </c>
      <c r="C87" t="s">
        <v>795</v>
      </c>
      <c r="E87" s="35">
        <v>1382</v>
      </c>
      <c r="K87" t="s">
        <v>766</v>
      </c>
      <c r="M87" t="str">
        <f t="shared" si="4"/>
        <v>EFS_EngFuelFilterDiffPress</v>
      </c>
      <c r="N87" t="str">
        <f t="shared" si="5"/>
        <v>GVL_J1939.EFS_EngFuelFilterDiffPress</v>
      </c>
      <c r="O87" t="str">
        <f t="shared" si="6"/>
        <v>GVL_J1939.EFS_EngFuelFilterDiffPress;</v>
      </c>
      <c r="P87" t="str">
        <f t="shared" si="7"/>
        <v>EFS_EngFuelFilterDiffPress:UINT; // SPN:1382</v>
      </c>
    </row>
    <row r="88" spans="1:16" hidden="1" x14ac:dyDescent="0.25">
      <c r="A88">
        <v>87</v>
      </c>
      <c r="B88" t="s">
        <v>655</v>
      </c>
      <c r="C88" t="s">
        <v>796</v>
      </c>
      <c r="E88" s="35">
        <v>3548</v>
      </c>
      <c r="K88" t="s">
        <v>701</v>
      </c>
      <c r="M88" t="str">
        <f t="shared" si="4"/>
        <v>EFS_EngWasteOilReservoirLevel</v>
      </c>
      <c r="N88" t="str">
        <f t="shared" si="5"/>
        <v>GVL_J1939.EFS_EngWasteOilReservoirLevel</v>
      </c>
      <c r="O88" t="str">
        <f t="shared" si="6"/>
        <v>GVL_J1939.EFS_EngWasteOilReservoirLevel;</v>
      </c>
      <c r="P88" t="str">
        <f t="shared" si="7"/>
        <v>EFS_EngWasteOilReservoirLevel:REAL; // SPN:3548</v>
      </c>
    </row>
    <row r="89" spans="1:16" hidden="1" x14ac:dyDescent="0.25">
      <c r="A89">
        <v>88</v>
      </c>
      <c r="B89" t="s">
        <v>655</v>
      </c>
      <c r="C89" t="s">
        <v>797</v>
      </c>
      <c r="E89" s="35">
        <v>3549</v>
      </c>
      <c r="K89" t="s">
        <v>766</v>
      </c>
      <c r="M89" t="str">
        <f t="shared" si="4"/>
        <v>EFS_EngOilFilterOutletPress</v>
      </c>
      <c r="N89" t="str">
        <f t="shared" si="5"/>
        <v>GVL_J1939.EFS_EngOilFilterOutletPress</v>
      </c>
      <c r="O89" t="str">
        <f t="shared" si="6"/>
        <v>GVL_J1939.EFS_EngOilFilterOutletPress;</v>
      </c>
      <c r="P89" t="str">
        <f t="shared" si="7"/>
        <v>EFS_EngOilFilterOutletPress:UINT; // SPN:3549</v>
      </c>
    </row>
    <row r="90" spans="1:16" hidden="1" x14ac:dyDescent="0.25">
      <c r="A90">
        <v>89</v>
      </c>
      <c r="B90" t="s">
        <v>655</v>
      </c>
      <c r="C90" t="s">
        <v>798</v>
      </c>
      <c r="E90" s="35">
        <v>3550</v>
      </c>
      <c r="K90" t="s">
        <v>700</v>
      </c>
      <c r="M90" t="str">
        <f t="shared" si="4"/>
        <v>EFS_EngOilPrimingPumpSwitch</v>
      </c>
      <c r="N90" t="str">
        <f t="shared" si="5"/>
        <v>GVL_J1939.EFS_EngOilPrimingPumpSwitch</v>
      </c>
      <c r="O90" t="str">
        <f t="shared" si="6"/>
        <v>GVL_J1939.EFS_EngOilPrimingPumpSwitch;</v>
      </c>
      <c r="P90" t="str">
        <f t="shared" si="7"/>
        <v>EFS_EngOilPrimingPumpSwitch:USINT; // SPN:3550</v>
      </c>
    </row>
    <row r="91" spans="1:16" x14ac:dyDescent="0.25">
      <c r="A91">
        <v>90</v>
      </c>
      <c r="B91" t="s">
        <v>655</v>
      </c>
      <c r="C91" t="s">
        <v>799</v>
      </c>
      <c r="E91" s="35">
        <v>3551</v>
      </c>
      <c r="F91" t="s">
        <v>402</v>
      </c>
      <c r="K91" t="s">
        <v>700</v>
      </c>
      <c r="M91" t="str">
        <f t="shared" si="4"/>
        <v>EFS_EngOilPrimingState</v>
      </c>
      <c r="N91" t="str">
        <f t="shared" si="5"/>
        <v>GVL_J1939.EFS_EngOilPrimingState</v>
      </c>
      <c r="O91" t="str">
        <f t="shared" si="6"/>
        <v>GVL_J1939.EFS_EngOilPrimingState;</v>
      </c>
      <c r="P91" t="str">
        <f t="shared" si="7"/>
        <v>EFS_EngOilPrimingState:USINT; // SPN:3551</v>
      </c>
    </row>
    <row r="92" spans="1:16" hidden="1" x14ac:dyDescent="0.25">
      <c r="A92">
        <v>91</v>
      </c>
      <c r="B92" t="s">
        <v>655</v>
      </c>
      <c r="C92" t="s">
        <v>800</v>
      </c>
      <c r="E92" s="35">
        <v>3552</v>
      </c>
      <c r="K92" t="s">
        <v>700</v>
      </c>
      <c r="M92" t="str">
        <f t="shared" si="4"/>
        <v>EFS_EngOilPreHeatedState</v>
      </c>
      <c r="N92" t="str">
        <f t="shared" si="5"/>
        <v>GVL_J1939.EFS_EngOilPreHeatedState</v>
      </c>
      <c r="O92" t="str">
        <f t="shared" si="6"/>
        <v>GVL_J1939.EFS_EngOilPreHeatedState;</v>
      </c>
      <c r="P92" t="str">
        <f t="shared" si="7"/>
        <v>EFS_EngOilPreHeatedState:USINT; // SPN:3552</v>
      </c>
    </row>
    <row r="93" spans="1:16" hidden="1" x14ac:dyDescent="0.25">
      <c r="A93">
        <v>92</v>
      </c>
      <c r="B93" t="s">
        <v>655</v>
      </c>
      <c r="C93" t="s">
        <v>801</v>
      </c>
      <c r="E93" s="35">
        <v>3553</v>
      </c>
      <c r="K93" t="s">
        <v>700</v>
      </c>
      <c r="M93" t="str">
        <f t="shared" si="4"/>
        <v>EFS_EngCoolantPreheatedState</v>
      </c>
      <c r="N93" t="str">
        <f t="shared" si="5"/>
        <v>GVL_J1939.EFS_EngCoolantPreheatedState</v>
      </c>
      <c r="O93" t="str">
        <f t="shared" si="6"/>
        <v>GVL_J1939.EFS_EngCoolantPreheatedState;</v>
      </c>
      <c r="P93" t="str">
        <f t="shared" si="7"/>
        <v>EFS_EngCoolantPreheatedState:USINT; // SPN:3553</v>
      </c>
    </row>
    <row r="94" spans="1:16" hidden="1" x14ac:dyDescent="0.25">
      <c r="A94">
        <v>93</v>
      </c>
      <c r="B94" t="s">
        <v>655</v>
      </c>
      <c r="C94" t="s">
        <v>802</v>
      </c>
      <c r="E94" s="35">
        <v>3554</v>
      </c>
      <c r="K94" t="s">
        <v>700</v>
      </c>
      <c r="M94" t="str">
        <f t="shared" si="4"/>
        <v>EFS_EngVentilationStatus</v>
      </c>
      <c r="N94" t="str">
        <f t="shared" si="5"/>
        <v>GVL_J1939.EFS_EngVentilationStatus</v>
      </c>
      <c r="O94" t="str">
        <f t="shared" si="6"/>
        <v>GVL_J1939.EFS_EngVentilationStatus;</v>
      </c>
      <c r="P94" t="str">
        <f t="shared" si="7"/>
        <v>EFS_EngVentilationStatus:USINT; // SPN:3554</v>
      </c>
    </row>
    <row r="95" spans="1:16" x14ac:dyDescent="0.25">
      <c r="A95">
        <v>94</v>
      </c>
      <c r="B95" t="s">
        <v>655</v>
      </c>
      <c r="C95" t="s">
        <v>803</v>
      </c>
      <c r="E95" s="35">
        <v>4083</v>
      </c>
      <c r="F95" t="s">
        <v>402</v>
      </c>
      <c r="K95" t="s">
        <v>700</v>
      </c>
      <c r="M95" t="str">
        <f t="shared" si="4"/>
        <v>EFS_FuelPumpPrimerStatus</v>
      </c>
      <c r="N95" t="str">
        <f t="shared" si="5"/>
        <v>GVL_J1939.EFS_FuelPumpPrimerStatus</v>
      </c>
      <c r="O95" t="str">
        <f t="shared" si="6"/>
        <v>GVL_J1939.EFS_FuelPumpPrimerStatus;</v>
      </c>
      <c r="P95" t="str">
        <f t="shared" si="7"/>
        <v>EFS_FuelPumpPrimerStatus:USINT; // SPN:4083</v>
      </c>
    </row>
    <row r="96" spans="1:16" x14ac:dyDescent="0.25">
      <c r="A96">
        <v>95</v>
      </c>
      <c r="B96" t="s">
        <v>605</v>
      </c>
      <c r="C96" s="33" t="s">
        <v>804</v>
      </c>
      <c r="D96" s="33" t="s">
        <v>905</v>
      </c>
      <c r="E96" s="41">
        <v>3697</v>
      </c>
      <c r="F96" t="s">
        <v>402</v>
      </c>
      <c r="G96" s="26">
        <v>0</v>
      </c>
      <c r="H96" s="26" t="s">
        <v>885</v>
      </c>
      <c r="I96" s="26">
        <v>0</v>
      </c>
      <c r="J96" s="26" t="str">
        <f>_xlfn.CONCAT(G96+1,",",I96+1)</f>
        <v>1,1</v>
      </c>
      <c r="K96" t="s">
        <v>700</v>
      </c>
      <c r="M96" t="str">
        <f t="shared" si="4"/>
        <v>DPFC1_DieselParticulateFilterLampCmd</v>
      </c>
      <c r="N96" t="str">
        <f t="shared" si="5"/>
        <v>GVL_J1939.DPFC1_DieselParticulateFilterLampCmd</v>
      </c>
      <c r="O96" t="str">
        <f t="shared" si="6"/>
        <v>GVL_J1939.DPFC1_DieselParticulateFilterLampCmd;</v>
      </c>
      <c r="P96" t="str">
        <f t="shared" si="7"/>
        <v>DPFC1_DieselParticulateFilterLampCmd:USINT; // SPN:3697</v>
      </c>
    </row>
    <row r="97" spans="1:16" hidden="1" x14ac:dyDescent="0.25">
      <c r="A97">
        <v>96</v>
      </c>
      <c r="B97" t="s">
        <v>605</v>
      </c>
      <c r="C97" t="s">
        <v>805</v>
      </c>
      <c r="E97" s="35">
        <v>3699</v>
      </c>
      <c r="G97" s="26">
        <v>1</v>
      </c>
      <c r="H97" s="26" t="s">
        <v>886</v>
      </c>
      <c r="I97" s="26">
        <v>0</v>
      </c>
      <c r="J97" s="26" t="str">
        <f t="shared" ref="J97:J118" si="8">_xlfn.CONCAT(G97+1,",",I97+1)</f>
        <v>2,1</v>
      </c>
      <c r="K97" t="s">
        <v>700</v>
      </c>
      <c r="M97" t="str">
        <f t="shared" si="4"/>
        <v>DPFC1_DslPrtcltFltrPssvRgnrtionStatus</v>
      </c>
      <c r="N97" t="str">
        <f t="shared" si="5"/>
        <v>GVL_J1939.DPFC1_DslPrtcltFltrPssvRgnrtionStatus</v>
      </c>
      <c r="O97" t="str">
        <f t="shared" si="6"/>
        <v>GVL_J1939.DPFC1_DslPrtcltFltrPssvRgnrtionStatus;</v>
      </c>
      <c r="P97" t="str">
        <f t="shared" si="7"/>
        <v>DPFC1_DslPrtcltFltrPssvRgnrtionStatus:USINT; // SPN:3699</v>
      </c>
    </row>
    <row r="98" spans="1:16" x14ac:dyDescent="0.25">
      <c r="A98">
        <v>97</v>
      </c>
      <c r="B98" t="s">
        <v>605</v>
      </c>
      <c r="C98" s="33" t="s">
        <v>806</v>
      </c>
      <c r="D98" s="33" t="s">
        <v>906</v>
      </c>
      <c r="E98" s="35">
        <v>3700</v>
      </c>
      <c r="F98" t="s">
        <v>402</v>
      </c>
      <c r="G98" s="26">
        <v>1</v>
      </c>
      <c r="H98" s="26" t="s">
        <v>887</v>
      </c>
      <c r="I98" s="26">
        <v>2</v>
      </c>
      <c r="J98" s="26" t="str">
        <f t="shared" si="8"/>
        <v>2,3</v>
      </c>
      <c r="K98" t="s">
        <v>700</v>
      </c>
      <c r="M98" t="str">
        <f t="shared" si="4"/>
        <v>DPFC1_DslPrtcltFltrActvRgnrtionStatus</v>
      </c>
      <c r="N98" t="str">
        <f t="shared" si="5"/>
        <v>GVL_J1939.DPFC1_DslPrtcltFltrActvRgnrtionStatus</v>
      </c>
      <c r="O98" t="str">
        <f t="shared" si="6"/>
        <v>GVL_J1939.DPFC1_DslPrtcltFltrActvRgnrtionStatus;</v>
      </c>
      <c r="P98" t="str">
        <f t="shared" si="7"/>
        <v>DPFC1_DslPrtcltFltrActvRgnrtionStatus:USINT; // SPN:3700</v>
      </c>
    </row>
    <row r="99" spans="1:16" x14ac:dyDescent="0.25">
      <c r="A99">
        <v>98</v>
      </c>
      <c r="B99" t="s">
        <v>605</v>
      </c>
      <c r="C99" s="33" t="s">
        <v>807</v>
      </c>
      <c r="D99" s="33"/>
      <c r="E99" s="35">
        <v>3701</v>
      </c>
      <c r="F99" t="s">
        <v>402</v>
      </c>
      <c r="G99" s="26">
        <v>1</v>
      </c>
      <c r="H99" s="26" t="s">
        <v>888</v>
      </c>
      <c r="I99" s="26">
        <v>4</v>
      </c>
      <c r="J99" s="26" t="str">
        <f t="shared" si="8"/>
        <v>2,5</v>
      </c>
      <c r="K99" t="s">
        <v>700</v>
      </c>
      <c r="M99" t="str">
        <f t="shared" si="4"/>
        <v>DPFC1_DieselParticulateFilterStatus</v>
      </c>
      <c r="N99" t="str">
        <f t="shared" si="5"/>
        <v>GVL_J1939.DPFC1_DieselParticulateFilterStatus</v>
      </c>
      <c r="O99" t="str">
        <f t="shared" si="6"/>
        <v>GVL_J1939.DPFC1_DieselParticulateFilterStatus;</v>
      </c>
      <c r="P99" t="str">
        <f t="shared" si="7"/>
        <v>DPFC1_DieselParticulateFilterStatus:USINT; // SPN:3701</v>
      </c>
    </row>
    <row r="100" spans="1:16" hidden="1" x14ac:dyDescent="0.25">
      <c r="A100">
        <v>99</v>
      </c>
      <c r="B100" t="s">
        <v>605</v>
      </c>
      <c r="C100" t="s">
        <v>808</v>
      </c>
      <c r="E100" s="35">
        <v>3702</v>
      </c>
      <c r="G100" s="26">
        <v>2</v>
      </c>
      <c r="H100" s="26" t="s">
        <v>886</v>
      </c>
      <c r="I100" s="26">
        <v>0</v>
      </c>
      <c r="J100" s="26" t="str">
        <f t="shared" si="8"/>
        <v>3,1</v>
      </c>
      <c r="K100" t="s">
        <v>700</v>
      </c>
      <c r="M100" t="str">
        <f t="shared" si="4"/>
        <v>DPFC1_DslPrtcltFltrActvRgnrtnInhbtdStt</v>
      </c>
      <c r="N100" t="str">
        <f t="shared" si="5"/>
        <v>GVL_J1939.DPFC1_DslPrtcltFltrActvRgnrtnInhbtdStt</v>
      </c>
      <c r="O100" t="str">
        <f t="shared" si="6"/>
        <v>GVL_J1939.DPFC1_DslPrtcltFltrActvRgnrtnInhbtdStt;</v>
      </c>
      <c r="P100" t="str">
        <f t="shared" si="7"/>
        <v>DPFC1_DslPrtcltFltrActvRgnrtnInhbtdStt:USINT; // SPN:3702</v>
      </c>
    </row>
    <row r="101" spans="1:16" x14ac:dyDescent="0.25">
      <c r="A101">
        <v>100</v>
      </c>
      <c r="B101" t="s">
        <v>605</v>
      </c>
      <c r="C101" s="33" t="s">
        <v>809</v>
      </c>
      <c r="D101" s="33" t="s">
        <v>907</v>
      </c>
      <c r="E101" s="35">
        <v>3703</v>
      </c>
      <c r="F101" t="s">
        <v>402</v>
      </c>
      <c r="G101" s="26">
        <v>2</v>
      </c>
      <c r="H101" s="26" t="s">
        <v>887</v>
      </c>
      <c r="I101" s="26">
        <v>2</v>
      </c>
      <c r="J101" s="26" t="str">
        <f t="shared" si="8"/>
        <v>3,3</v>
      </c>
      <c r="K101" t="s">
        <v>700</v>
      </c>
      <c r="M101" t="str">
        <f t="shared" si="4"/>
        <v>DPFC1_DslPrtcltFltrActvRgnrtnInhbtdDTI</v>
      </c>
      <c r="N101" t="str">
        <f t="shared" si="5"/>
        <v>GVL_J1939.DPFC1_DslPrtcltFltrActvRgnrtnInhbtdDTI</v>
      </c>
      <c r="O101" t="str">
        <f t="shared" si="6"/>
        <v>GVL_J1939.DPFC1_DslPrtcltFltrActvRgnrtnInhbtdDTI;</v>
      </c>
      <c r="P101" t="str">
        <f t="shared" si="7"/>
        <v>DPFC1_DslPrtcltFltrActvRgnrtnInhbtdDTI:USINT; // SPN:3703</v>
      </c>
    </row>
    <row r="102" spans="1:16" hidden="1" x14ac:dyDescent="0.25">
      <c r="A102">
        <v>101</v>
      </c>
      <c r="B102" t="s">
        <v>605</v>
      </c>
      <c r="C102" t="s">
        <v>810</v>
      </c>
      <c r="E102" s="35">
        <v>3704</v>
      </c>
      <c r="G102" s="26">
        <v>2</v>
      </c>
      <c r="H102" s="26" t="s">
        <v>889</v>
      </c>
      <c r="I102" s="26">
        <v>4</v>
      </c>
      <c r="J102" s="26" t="str">
        <f t="shared" si="8"/>
        <v>3,5</v>
      </c>
      <c r="K102" t="s">
        <v>700</v>
      </c>
      <c r="M102" t="str">
        <f t="shared" si="4"/>
        <v>DPFC1_DslPrtcltFltrActvRgnrtnInhbtdDTC</v>
      </c>
      <c r="N102" t="str">
        <f t="shared" si="5"/>
        <v>GVL_J1939.DPFC1_DslPrtcltFltrActvRgnrtnInhbtdDTC</v>
      </c>
      <c r="O102" t="str">
        <f t="shared" si="6"/>
        <v>GVL_J1939.DPFC1_DslPrtcltFltrActvRgnrtnInhbtdDTC;</v>
      </c>
      <c r="P102" t="str">
        <f t="shared" si="7"/>
        <v>DPFC1_DslPrtcltFltrActvRgnrtnInhbtdDTC:USINT; // SPN:3704</v>
      </c>
    </row>
    <row r="103" spans="1:16" hidden="1" x14ac:dyDescent="0.25">
      <c r="A103">
        <v>102</v>
      </c>
      <c r="B103" t="s">
        <v>605</v>
      </c>
      <c r="C103" t="s">
        <v>811</v>
      </c>
      <c r="E103" s="35">
        <v>3705</v>
      </c>
      <c r="G103" s="26">
        <v>2</v>
      </c>
      <c r="H103" s="26" t="s">
        <v>890</v>
      </c>
      <c r="I103" s="26">
        <v>6</v>
      </c>
      <c r="J103" s="26" t="str">
        <f t="shared" si="8"/>
        <v>3,7</v>
      </c>
      <c r="K103" t="s">
        <v>700</v>
      </c>
      <c r="M103" t="str">
        <f t="shared" si="4"/>
        <v>DPFC1_DslPrtcltFltrActvRgnrtnInhb_0004</v>
      </c>
      <c r="N103" t="str">
        <f t="shared" si="5"/>
        <v>GVL_J1939.DPFC1_DslPrtcltFltrActvRgnrtnInhb_0004</v>
      </c>
      <c r="O103" t="str">
        <f t="shared" si="6"/>
        <v>GVL_J1939.DPFC1_DslPrtcltFltrActvRgnrtnInhb_0004;</v>
      </c>
      <c r="P103" t="str">
        <f t="shared" si="7"/>
        <v>DPFC1_DslPrtcltFltrActvRgnrtnInhb_0004:USINT; // SPN:3705</v>
      </c>
    </row>
    <row r="104" spans="1:16" hidden="1" x14ac:dyDescent="0.25">
      <c r="A104">
        <v>103</v>
      </c>
      <c r="B104" t="s">
        <v>605</v>
      </c>
      <c r="C104" t="s">
        <v>812</v>
      </c>
      <c r="E104" s="35">
        <v>3706</v>
      </c>
      <c r="G104" s="26">
        <v>3</v>
      </c>
      <c r="H104" s="26" t="s">
        <v>886</v>
      </c>
      <c r="I104" s="26">
        <v>0</v>
      </c>
      <c r="J104" s="26" t="str">
        <f t="shared" si="8"/>
        <v>4,1</v>
      </c>
      <c r="K104" t="s">
        <v>700</v>
      </c>
      <c r="M104" t="str">
        <f t="shared" si="4"/>
        <v>DPFC1_DslPrtcltFltrActvRgnrtnInhb_0003</v>
      </c>
      <c r="N104" t="str">
        <f t="shared" si="5"/>
        <v>GVL_J1939.DPFC1_DslPrtcltFltrActvRgnrtnInhb_0003</v>
      </c>
      <c r="O104" t="str">
        <f t="shared" si="6"/>
        <v>GVL_J1939.DPFC1_DslPrtcltFltrActvRgnrtnInhb_0003;</v>
      </c>
      <c r="P104" t="str">
        <f t="shared" si="7"/>
        <v>DPFC1_DslPrtcltFltrActvRgnrtnInhb_0003:USINT; // SPN:3706</v>
      </c>
    </row>
    <row r="105" spans="1:16" hidden="1" x14ac:dyDescent="0.25">
      <c r="A105">
        <v>104</v>
      </c>
      <c r="B105" t="s">
        <v>605</v>
      </c>
      <c r="C105" t="s">
        <v>813</v>
      </c>
      <c r="E105" s="35">
        <v>3707</v>
      </c>
      <c r="G105" s="26">
        <v>3</v>
      </c>
      <c r="H105" s="26" t="s">
        <v>887</v>
      </c>
      <c r="I105" s="26">
        <v>2</v>
      </c>
      <c r="J105" s="26" t="str">
        <f t="shared" si="8"/>
        <v>4,3</v>
      </c>
      <c r="K105" t="s">
        <v>700</v>
      </c>
      <c r="M105" t="str">
        <f t="shared" si="4"/>
        <v>DPFC1_DslPrtcltFltrActvRgnrtnInhbtdDTA</v>
      </c>
      <c r="N105" t="str">
        <f t="shared" si="5"/>
        <v>GVL_J1939.DPFC1_DslPrtcltFltrActvRgnrtnInhbtdDTA</v>
      </c>
      <c r="O105" t="str">
        <f t="shared" si="6"/>
        <v>GVL_J1939.DPFC1_DslPrtcltFltrActvRgnrtnInhbtdDTA;</v>
      </c>
      <c r="P105" t="str">
        <f t="shared" si="7"/>
        <v>DPFC1_DslPrtcltFltrActvRgnrtnInhbtdDTA:USINT; // SPN:3707</v>
      </c>
    </row>
    <row r="106" spans="1:16" hidden="1" x14ac:dyDescent="0.25">
      <c r="A106">
        <v>105</v>
      </c>
      <c r="B106" t="s">
        <v>605</v>
      </c>
      <c r="C106" t="s">
        <v>814</v>
      </c>
      <c r="E106" s="35">
        <v>3708</v>
      </c>
      <c r="G106" s="26">
        <v>3</v>
      </c>
      <c r="H106" s="26" t="s">
        <v>889</v>
      </c>
      <c r="I106" s="26">
        <v>4</v>
      </c>
      <c r="J106" s="26" t="str">
        <f t="shared" si="8"/>
        <v>4,5</v>
      </c>
      <c r="K106" t="s">
        <v>700</v>
      </c>
      <c r="M106" t="str">
        <f t="shared" si="4"/>
        <v>DPFC1_DslPrtcltFltrActvRgnrtnInhbtdDTO</v>
      </c>
      <c r="N106" t="str">
        <f t="shared" si="5"/>
        <v>GVL_J1939.DPFC1_DslPrtcltFltrActvRgnrtnInhbtdDTO</v>
      </c>
      <c r="O106" t="str">
        <f t="shared" si="6"/>
        <v>GVL_J1939.DPFC1_DslPrtcltFltrActvRgnrtnInhbtdDTO;</v>
      </c>
      <c r="P106" t="str">
        <f t="shared" si="7"/>
        <v>DPFC1_DslPrtcltFltrActvRgnrtnInhbtdDTO:USINT; // SPN:3708</v>
      </c>
    </row>
    <row r="107" spans="1:16" hidden="1" x14ac:dyDescent="0.25">
      <c r="A107">
        <v>106</v>
      </c>
      <c r="B107" t="s">
        <v>605</v>
      </c>
      <c r="C107" t="s">
        <v>815</v>
      </c>
      <c r="E107" s="35">
        <v>3709</v>
      </c>
      <c r="G107" s="26">
        <v>3</v>
      </c>
      <c r="H107" s="26" t="s">
        <v>890</v>
      </c>
      <c r="I107" s="26">
        <v>6</v>
      </c>
      <c r="J107" s="26" t="str">
        <f t="shared" si="8"/>
        <v>4,7</v>
      </c>
      <c r="K107" t="s">
        <v>700</v>
      </c>
      <c r="M107" t="str">
        <f t="shared" si="4"/>
        <v>DPFC1_DslPrtcltFltrActvRgnrtnInhb_0002</v>
      </c>
      <c r="N107" t="str">
        <f t="shared" si="5"/>
        <v>GVL_J1939.DPFC1_DslPrtcltFltrActvRgnrtnInhb_0002</v>
      </c>
      <c r="O107" t="str">
        <f t="shared" si="6"/>
        <v>GVL_J1939.DPFC1_DslPrtcltFltrActvRgnrtnInhb_0002;</v>
      </c>
      <c r="P107" t="str">
        <f t="shared" si="7"/>
        <v>DPFC1_DslPrtcltFltrActvRgnrtnInhb_0002:USINT; // SPN:3709</v>
      </c>
    </row>
    <row r="108" spans="1:16" hidden="1" x14ac:dyDescent="0.25">
      <c r="A108">
        <v>107</v>
      </c>
      <c r="B108" t="s">
        <v>605</v>
      </c>
      <c r="C108" t="s">
        <v>816</v>
      </c>
      <c r="E108" s="35">
        <v>3710</v>
      </c>
      <c r="G108" s="26">
        <v>4</v>
      </c>
      <c r="H108" s="26" t="s">
        <v>886</v>
      </c>
      <c r="I108" s="26">
        <v>0</v>
      </c>
      <c r="J108" s="26" t="str">
        <f t="shared" si="8"/>
        <v>5,1</v>
      </c>
      <c r="K108" t="s">
        <v>700</v>
      </c>
      <c r="M108" t="str">
        <f t="shared" si="4"/>
        <v>DPFC1_DslPrtcltFltrActvRgnrtnInhb_0001</v>
      </c>
      <c r="N108" t="str">
        <f t="shared" si="5"/>
        <v>GVL_J1939.DPFC1_DslPrtcltFltrActvRgnrtnInhb_0001</v>
      </c>
      <c r="O108" t="str">
        <f t="shared" si="6"/>
        <v>GVL_J1939.DPFC1_DslPrtcltFltrActvRgnrtnInhb_0001;</v>
      </c>
      <c r="P108" t="str">
        <f t="shared" si="7"/>
        <v>DPFC1_DslPrtcltFltrActvRgnrtnInhb_0001:USINT; // SPN:3710</v>
      </c>
    </row>
    <row r="109" spans="1:16" hidden="1" x14ac:dyDescent="0.25">
      <c r="A109">
        <v>108</v>
      </c>
      <c r="B109" t="s">
        <v>605</v>
      </c>
      <c r="C109" t="s">
        <v>817</v>
      </c>
      <c r="E109" s="35">
        <v>3711</v>
      </c>
      <c r="G109" s="26">
        <v>4</v>
      </c>
      <c r="H109" s="26" t="s">
        <v>887</v>
      </c>
      <c r="I109" s="26">
        <v>2</v>
      </c>
      <c r="J109" s="26" t="str">
        <f t="shared" si="8"/>
        <v>5,3</v>
      </c>
      <c r="K109" t="s">
        <v>700</v>
      </c>
      <c r="M109" t="str">
        <f t="shared" si="4"/>
        <v>DPFC1_DslPrtcltFltrActvRgnrtnInhbtdDTL</v>
      </c>
      <c r="N109" t="str">
        <f t="shared" si="5"/>
        <v>GVL_J1939.DPFC1_DslPrtcltFltrActvRgnrtnInhbtdDTL</v>
      </c>
      <c r="O109" t="str">
        <f t="shared" si="6"/>
        <v>GVL_J1939.DPFC1_DslPrtcltFltrActvRgnrtnInhbtdDTL;</v>
      </c>
      <c r="P109" t="str">
        <f t="shared" si="7"/>
        <v>DPFC1_DslPrtcltFltrActvRgnrtnInhbtdDTL:USINT; // SPN:3711</v>
      </c>
    </row>
    <row r="110" spans="1:16" hidden="1" x14ac:dyDescent="0.25">
      <c r="A110">
        <v>109</v>
      </c>
      <c r="B110" t="s">
        <v>605</v>
      </c>
      <c r="C110" t="s">
        <v>818</v>
      </c>
      <c r="E110" s="35">
        <v>3712</v>
      </c>
      <c r="G110" s="26">
        <v>4</v>
      </c>
      <c r="H110" s="26" t="s">
        <v>889</v>
      </c>
      <c r="I110" s="26">
        <v>4</v>
      </c>
      <c r="J110" s="26" t="str">
        <f t="shared" si="8"/>
        <v>5,5</v>
      </c>
      <c r="K110" t="s">
        <v>700</v>
      </c>
      <c r="M110" t="str">
        <f t="shared" si="4"/>
        <v>DPFC1_DslPrtcltFltrActvRgnrtnInhb_0000</v>
      </c>
      <c r="N110" t="str">
        <f t="shared" si="5"/>
        <v>GVL_J1939.DPFC1_DslPrtcltFltrActvRgnrtnInhb_0000</v>
      </c>
      <c r="O110" t="str">
        <f t="shared" si="6"/>
        <v>GVL_J1939.DPFC1_DslPrtcltFltrActvRgnrtnInhb_0000;</v>
      </c>
      <c r="P110" t="str">
        <f t="shared" si="7"/>
        <v>DPFC1_DslPrtcltFltrActvRgnrtnInhb_0000:USINT; // SPN:3712</v>
      </c>
    </row>
    <row r="111" spans="1:16" hidden="1" x14ac:dyDescent="0.25">
      <c r="A111">
        <v>110</v>
      </c>
      <c r="B111" t="s">
        <v>605</v>
      </c>
      <c r="C111" t="s">
        <v>819</v>
      </c>
      <c r="E111" s="35">
        <v>3713</v>
      </c>
      <c r="G111" s="26">
        <v>4</v>
      </c>
      <c r="H111" s="26" t="s">
        <v>890</v>
      </c>
      <c r="I111" s="26">
        <v>6</v>
      </c>
      <c r="J111" s="26" t="str">
        <f t="shared" si="8"/>
        <v>5,7</v>
      </c>
      <c r="K111" t="s">
        <v>700</v>
      </c>
      <c r="M111" t="str">
        <f t="shared" si="4"/>
        <v>DPFC1_DslPrtcltFltrActvRgnrtnInhbtdDTS</v>
      </c>
      <c r="N111" t="str">
        <f t="shared" si="5"/>
        <v>GVL_J1939.DPFC1_DslPrtcltFltrActvRgnrtnInhbtdDTS</v>
      </c>
      <c r="O111" t="str">
        <f t="shared" si="6"/>
        <v>GVL_J1939.DPFC1_DslPrtcltFltrActvRgnrtnInhbtdDTS;</v>
      </c>
      <c r="P111" t="str">
        <f t="shared" si="7"/>
        <v>DPFC1_DslPrtcltFltrActvRgnrtnInhbtdDTS:USINT; // SPN:3713</v>
      </c>
    </row>
    <row r="112" spans="1:16" x14ac:dyDescent="0.25">
      <c r="A112">
        <v>111</v>
      </c>
      <c r="B112" t="s">
        <v>605</v>
      </c>
      <c r="C112" s="33" t="s">
        <v>820</v>
      </c>
      <c r="D112" s="33" t="s">
        <v>908</v>
      </c>
      <c r="E112" s="35">
        <v>3714</v>
      </c>
      <c r="F112" t="s">
        <v>402</v>
      </c>
      <c r="G112" s="26">
        <v>5</v>
      </c>
      <c r="H112" s="26" t="s">
        <v>886</v>
      </c>
      <c r="I112" s="26">
        <v>0</v>
      </c>
      <c r="J112" s="26" t="str">
        <f t="shared" si="8"/>
        <v>6,1</v>
      </c>
      <c r="K112" t="s">
        <v>700</v>
      </c>
      <c r="M112" t="str">
        <f t="shared" si="4"/>
        <v>DPFC1_DslPrtcltFltrActvRgnrtnInhbtdDTT</v>
      </c>
      <c r="N112" t="str">
        <f t="shared" si="5"/>
        <v>GVL_J1939.DPFC1_DslPrtcltFltrActvRgnrtnInhbtdDTT</v>
      </c>
      <c r="O112" t="str">
        <f t="shared" si="6"/>
        <v>GVL_J1939.DPFC1_DslPrtcltFltrActvRgnrtnInhbtdDTT;</v>
      </c>
      <c r="P112" t="str">
        <f t="shared" si="7"/>
        <v>DPFC1_DslPrtcltFltrActvRgnrtnInhbtdDTT:USINT; // SPN:3714</v>
      </c>
    </row>
    <row r="113" spans="1:16" x14ac:dyDescent="0.25">
      <c r="A113">
        <v>112</v>
      </c>
      <c r="B113" t="s">
        <v>605</v>
      </c>
      <c r="C113" s="33" t="s">
        <v>821</v>
      </c>
      <c r="D113" s="33" t="s">
        <v>909</v>
      </c>
      <c r="E113" s="35">
        <v>3715</v>
      </c>
      <c r="F113" t="s">
        <v>402</v>
      </c>
      <c r="G113" s="26">
        <v>5</v>
      </c>
      <c r="H113" s="26" t="s">
        <v>887</v>
      </c>
      <c r="I113" s="26">
        <v>2</v>
      </c>
      <c r="J113" s="26" t="str">
        <f t="shared" si="8"/>
        <v>6,3</v>
      </c>
      <c r="K113" t="s">
        <v>700</v>
      </c>
      <c r="M113" t="str">
        <f t="shared" si="4"/>
        <v>DPFC1_DslPrtcltFltrActvRgnrtnInhbtdDTP</v>
      </c>
      <c r="N113" t="str">
        <f t="shared" si="5"/>
        <v>GVL_J1939.DPFC1_DslPrtcltFltrActvRgnrtnInhbtdDTP</v>
      </c>
      <c r="O113" t="str">
        <f t="shared" si="6"/>
        <v>GVL_J1939.DPFC1_DslPrtcltFltrActvRgnrtnInhbtdDTP;</v>
      </c>
      <c r="P113" t="str">
        <f t="shared" si="7"/>
        <v>DPFC1_DslPrtcltFltrActvRgnrtnInhbtdDTP:USINT; // SPN:3715</v>
      </c>
    </row>
    <row r="114" spans="1:16" hidden="1" x14ac:dyDescent="0.25">
      <c r="A114">
        <v>113</v>
      </c>
      <c r="B114" t="s">
        <v>605</v>
      </c>
      <c r="C114" t="s">
        <v>822</v>
      </c>
      <c r="E114" s="35">
        <v>3716</v>
      </c>
      <c r="G114" s="26">
        <v>5</v>
      </c>
      <c r="H114" s="26" t="s">
        <v>889</v>
      </c>
      <c r="I114" s="26">
        <v>4</v>
      </c>
      <c r="J114" s="26" t="str">
        <f t="shared" si="8"/>
        <v>6,5</v>
      </c>
      <c r="K114" t="s">
        <v>700</v>
      </c>
      <c r="M114" t="str">
        <f t="shared" si="4"/>
        <v>DPFC1_DslPrtcltFltrActvRgnrtnInhbtdDTE</v>
      </c>
      <c r="N114" t="str">
        <f t="shared" si="5"/>
        <v>GVL_J1939.DPFC1_DslPrtcltFltrActvRgnrtnInhbtdDTE</v>
      </c>
      <c r="O114" t="str">
        <f t="shared" si="6"/>
        <v>GVL_J1939.DPFC1_DslPrtcltFltrActvRgnrtnInhbtdDTE;</v>
      </c>
      <c r="P114" t="str">
        <f t="shared" si="7"/>
        <v>DPFC1_DslPrtcltFltrActvRgnrtnInhbtdDTE:USINT; // SPN:3716</v>
      </c>
    </row>
    <row r="115" spans="1:16" hidden="1" x14ac:dyDescent="0.25">
      <c r="A115">
        <v>114</v>
      </c>
      <c r="B115" t="s">
        <v>605</v>
      </c>
      <c r="C115" t="s">
        <v>823</v>
      </c>
      <c r="E115" s="35">
        <v>3717</v>
      </c>
      <c r="G115" s="26">
        <v>5</v>
      </c>
      <c r="H115" s="26" t="s">
        <v>890</v>
      </c>
      <c r="I115" s="26">
        <v>6</v>
      </c>
      <c r="J115" s="26" t="str">
        <f t="shared" si="8"/>
        <v>6,7</v>
      </c>
      <c r="K115" t="s">
        <v>700</v>
      </c>
      <c r="M115" t="str">
        <f t="shared" si="4"/>
        <v>DPFC1_DslPrtcltFltrActvRgnrtnInhbtdDTV</v>
      </c>
      <c r="N115" t="str">
        <f t="shared" si="5"/>
        <v>GVL_J1939.DPFC1_DslPrtcltFltrActvRgnrtnInhbtdDTV</v>
      </c>
      <c r="O115" t="str">
        <f t="shared" si="6"/>
        <v>GVL_J1939.DPFC1_DslPrtcltFltrActvRgnrtnInhbtdDTV;</v>
      </c>
      <c r="P115" t="str">
        <f t="shared" si="7"/>
        <v>DPFC1_DslPrtcltFltrActvRgnrtnInhbtdDTV:USINT; // SPN:3717</v>
      </c>
    </row>
    <row r="116" spans="1:16" hidden="1" x14ac:dyDescent="0.25">
      <c r="A116">
        <v>115</v>
      </c>
      <c r="B116" t="s">
        <v>605</v>
      </c>
      <c r="C116" t="s">
        <v>824</v>
      </c>
      <c r="E116" s="35">
        <v>3718</v>
      </c>
      <c r="G116" s="26">
        <v>6</v>
      </c>
      <c r="H116" s="26" t="s">
        <v>886</v>
      </c>
      <c r="I116" s="26">
        <v>0</v>
      </c>
      <c r="J116" s="26" t="str">
        <f t="shared" si="8"/>
        <v>7,1</v>
      </c>
      <c r="K116" t="s">
        <v>700</v>
      </c>
      <c r="M116" t="str">
        <f t="shared" si="4"/>
        <v>DPFC1_DslPrtcltFltrAtmtcActvRgnrtnIntt</v>
      </c>
      <c r="N116" t="str">
        <f t="shared" si="5"/>
        <v>GVL_J1939.DPFC1_DslPrtcltFltrAtmtcActvRgnrtnIntt</v>
      </c>
      <c r="O116" t="str">
        <f t="shared" si="6"/>
        <v>GVL_J1939.DPFC1_DslPrtcltFltrAtmtcActvRgnrtnIntt;</v>
      </c>
      <c r="P116" t="str">
        <f t="shared" si="7"/>
        <v>DPFC1_DslPrtcltFltrAtmtcActvRgnrtnIntt:USINT; // SPN:3718</v>
      </c>
    </row>
    <row r="117" spans="1:16" hidden="1" x14ac:dyDescent="0.25">
      <c r="A117">
        <v>116</v>
      </c>
      <c r="B117" t="s">
        <v>605</v>
      </c>
      <c r="C117" t="s">
        <v>825</v>
      </c>
      <c r="E117" s="35">
        <v>3698</v>
      </c>
      <c r="G117" s="26">
        <v>6</v>
      </c>
      <c r="H117" s="26" t="s">
        <v>891</v>
      </c>
      <c r="I117" s="26">
        <v>2</v>
      </c>
      <c r="J117" s="26" t="str">
        <f t="shared" si="8"/>
        <v>7,3</v>
      </c>
      <c r="K117" t="s">
        <v>700</v>
      </c>
      <c r="M117" t="str">
        <f t="shared" si="4"/>
        <v>DPFC1_ExhaustSystemHighTempLampCmd</v>
      </c>
      <c r="N117" t="str">
        <f t="shared" si="5"/>
        <v>GVL_J1939.DPFC1_ExhaustSystemHighTempLampCmd</v>
      </c>
      <c r="O117" t="str">
        <f t="shared" si="6"/>
        <v>GVL_J1939.DPFC1_ExhaustSystemHighTempLampCmd;</v>
      </c>
      <c r="P117" t="str">
        <f t="shared" si="7"/>
        <v>DPFC1_ExhaustSystemHighTempLampCmd:USINT; // SPN:3698</v>
      </c>
    </row>
    <row r="118" spans="1:16" hidden="1" x14ac:dyDescent="0.25">
      <c r="A118">
        <v>117</v>
      </c>
      <c r="B118" t="s">
        <v>605</v>
      </c>
      <c r="C118" t="s">
        <v>826</v>
      </c>
      <c r="E118" s="35">
        <v>4175</v>
      </c>
      <c r="G118" s="26">
        <v>6</v>
      </c>
      <c r="H118" s="26" t="s">
        <v>892</v>
      </c>
      <c r="I118" s="26">
        <v>5</v>
      </c>
      <c r="J118" s="26" t="str">
        <f t="shared" si="8"/>
        <v>7,6</v>
      </c>
      <c r="K118" t="s">
        <v>700</v>
      </c>
      <c r="M118" t="str">
        <f t="shared" si="4"/>
        <v>DPFC1_DslPrtcltFltrActvRgnrtnFrcdStts</v>
      </c>
      <c r="N118" t="str">
        <f t="shared" si="5"/>
        <v>GVL_J1939.DPFC1_DslPrtcltFltrActvRgnrtnFrcdStts</v>
      </c>
      <c r="O118" t="str">
        <f t="shared" si="6"/>
        <v>GVL_J1939.DPFC1_DslPrtcltFltrActvRgnrtnFrcdStts;</v>
      </c>
      <c r="P118" t="str">
        <f t="shared" si="7"/>
        <v>DPFC1_DslPrtcltFltrActvRgnrtnFrcdStts:USINT; // SPN:4175</v>
      </c>
    </row>
    <row r="119" spans="1:16" hidden="1" x14ac:dyDescent="0.25">
      <c r="A119">
        <v>118</v>
      </c>
      <c r="B119" t="s">
        <v>652</v>
      </c>
      <c r="C119" t="s">
        <v>827</v>
      </c>
      <c r="E119" s="35">
        <v>3241</v>
      </c>
      <c r="K119" t="s">
        <v>701</v>
      </c>
      <c r="M119" t="str">
        <f t="shared" si="4"/>
        <v>AT1IG2_Aftertreatment1ExhaustGasTemp1</v>
      </c>
      <c r="N119" t="str">
        <f t="shared" si="5"/>
        <v>GVL_J1939.AT1IG2_Aftertreatment1ExhaustGasTemp1</v>
      </c>
      <c r="O119" t="str">
        <f t="shared" si="6"/>
        <v>GVL_J1939.AT1IG2_Aftertreatment1ExhaustGasTemp1;</v>
      </c>
      <c r="P119" t="str">
        <f t="shared" si="7"/>
        <v>AT1IG2_Aftertreatment1ExhaustGasTemp1:REAL; // SPN:3241</v>
      </c>
    </row>
    <row r="120" spans="1:16" x14ac:dyDescent="0.25">
      <c r="A120">
        <v>119</v>
      </c>
      <c r="B120" t="s">
        <v>652</v>
      </c>
      <c r="C120" t="s">
        <v>828</v>
      </c>
      <c r="E120" s="35">
        <v>3242</v>
      </c>
      <c r="F120" t="s">
        <v>402</v>
      </c>
      <c r="K120" t="s">
        <v>701</v>
      </c>
      <c r="M120" t="str">
        <f t="shared" si="4"/>
        <v>AT1IG2_Aftrtrtmnt1DslPrtcltFltrInt_0000</v>
      </c>
      <c r="N120" t="str">
        <f t="shared" si="5"/>
        <v>GVL_J1939.AT1IG2_Aftrtrtmnt1DslPrtcltFltrInt_0000</v>
      </c>
      <c r="O120" t="str">
        <f t="shared" si="6"/>
        <v>GVL_J1939.AT1IG2_Aftrtrtmnt1DslPrtcltFltrInt_0000;</v>
      </c>
      <c r="P120" t="str">
        <f t="shared" si="7"/>
        <v>AT1IG2_Aftrtrtmnt1DslPrtcltFltrInt_0000:REAL; // SPN:3242</v>
      </c>
    </row>
    <row r="121" spans="1:16" hidden="1" x14ac:dyDescent="0.25">
      <c r="A121">
        <v>120</v>
      </c>
      <c r="B121" t="s">
        <v>652</v>
      </c>
      <c r="C121" t="s">
        <v>829</v>
      </c>
      <c r="E121" s="35">
        <v>3243</v>
      </c>
      <c r="K121" t="s">
        <v>700</v>
      </c>
      <c r="M121" t="str">
        <f t="shared" si="4"/>
        <v>AT1IG2_Aftrtrtmnt1ExhstGsTmp1PrlmnryFMI</v>
      </c>
      <c r="N121" t="str">
        <f t="shared" si="5"/>
        <v>GVL_J1939.AT1IG2_Aftrtrtmnt1ExhstGsTmp1PrlmnryFMI</v>
      </c>
      <c r="O121" t="str">
        <f t="shared" si="6"/>
        <v>GVL_J1939.AT1IG2_Aftrtrtmnt1ExhstGsTmp1PrlmnryFMI;</v>
      </c>
      <c r="P121" t="str">
        <f t="shared" si="7"/>
        <v>AT1IG2_Aftrtrtmnt1ExhstGsTmp1PrlmnryFMI:USINT; // SPN:3243</v>
      </c>
    </row>
    <row r="122" spans="1:16" hidden="1" x14ac:dyDescent="0.25">
      <c r="A122">
        <v>121</v>
      </c>
      <c r="B122" t="s">
        <v>652</v>
      </c>
      <c r="C122" t="s">
        <v>830</v>
      </c>
      <c r="E122" s="35">
        <v>3244</v>
      </c>
      <c r="K122" t="s">
        <v>700</v>
      </c>
      <c r="M122" t="str">
        <f t="shared" si="4"/>
        <v>AT1IG2_Aftrtrtmnt1DslPrtcltFltrIntkGsTm</v>
      </c>
      <c r="N122" t="str">
        <f t="shared" si="5"/>
        <v>GVL_J1939.AT1IG2_Aftrtrtmnt1DslPrtcltFltrIntkGsTm</v>
      </c>
      <c r="O122" t="str">
        <f t="shared" si="6"/>
        <v>GVL_J1939.AT1IG2_Aftrtrtmnt1DslPrtcltFltrIntkGsTm;</v>
      </c>
      <c r="P122" t="str">
        <f t="shared" si="7"/>
        <v>AT1IG2_Aftrtrtmnt1DslPrtcltFltrIntkGsTm:USINT; // SPN:3244</v>
      </c>
    </row>
    <row r="123" spans="1:16" x14ac:dyDescent="0.25">
      <c r="A123">
        <v>122</v>
      </c>
      <c r="B123" t="s">
        <v>840</v>
      </c>
      <c r="C123" t="s">
        <v>831</v>
      </c>
      <c r="E123" s="35">
        <v>1761</v>
      </c>
      <c r="F123" t="s">
        <v>402</v>
      </c>
      <c r="K123" t="s">
        <v>701</v>
      </c>
      <c r="M123" t="str">
        <f t="shared" si="4"/>
        <v>AT1T1I_Aftrtrtmnt1SCRCatalystTankLevel</v>
      </c>
      <c r="N123" t="str">
        <f t="shared" si="5"/>
        <v>GVL_J1939.AT1T1I_Aftrtrtmnt1SCRCatalystTankLevel</v>
      </c>
      <c r="O123" t="str">
        <f t="shared" si="6"/>
        <v>GVL_J1939.AT1T1I_Aftrtrtmnt1SCRCatalystTankLevel;</v>
      </c>
      <c r="P123" t="str">
        <f t="shared" si="7"/>
        <v>AT1T1I_Aftrtrtmnt1SCRCatalystTankLevel:REAL; // SPN:1761</v>
      </c>
    </row>
    <row r="124" spans="1:16" x14ac:dyDescent="0.25">
      <c r="A124">
        <v>123</v>
      </c>
      <c r="B124" t="s">
        <v>840</v>
      </c>
      <c r="C124" t="s">
        <v>832</v>
      </c>
      <c r="E124" s="35">
        <v>3031</v>
      </c>
      <c r="F124" t="s">
        <v>402</v>
      </c>
      <c r="K124" t="s">
        <v>702</v>
      </c>
      <c r="M124" t="str">
        <f t="shared" si="4"/>
        <v>AT1T1I_Aftrtrtment1SCRCatalystTankTemp</v>
      </c>
      <c r="N124" t="str">
        <f t="shared" si="5"/>
        <v>GVL_J1939.AT1T1I_Aftrtrtment1SCRCatalystTankTemp</v>
      </c>
      <c r="O124" t="str">
        <f t="shared" si="6"/>
        <v>GVL_J1939.AT1T1I_Aftrtrtment1SCRCatalystTankTemp;</v>
      </c>
      <c r="P124" t="str">
        <f t="shared" si="7"/>
        <v>AT1T1I_Aftrtrtment1SCRCatalystTankTemp:INT; // SPN:3031</v>
      </c>
    </row>
    <row r="125" spans="1:16" hidden="1" x14ac:dyDescent="0.25">
      <c r="A125">
        <v>124</v>
      </c>
      <c r="B125" t="s">
        <v>840</v>
      </c>
      <c r="C125" t="s">
        <v>833</v>
      </c>
      <c r="E125" s="35">
        <v>3517</v>
      </c>
      <c r="K125" t="s">
        <v>701</v>
      </c>
      <c r="M125" t="str">
        <f t="shared" si="4"/>
        <v>AT1T1I_Aftrtrtmnt1SCRCtalystTankLevel2</v>
      </c>
      <c r="N125" t="str">
        <f t="shared" si="5"/>
        <v>GVL_J1939.AT1T1I_Aftrtrtmnt1SCRCtalystTankLevel2</v>
      </c>
      <c r="O125" t="str">
        <f t="shared" si="6"/>
        <v>GVL_J1939.AT1T1I_Aftrtrtmnt1SCRCtalystTankLevel2;</v>
      </c>
      <c r="P125" t="str">
        <f t="shared" si="7"/>
        <v>AT1T1I_Aftrtrtmnt1SCRCtalystTankLevel2:REAL; // SPN:3517</v>
      </c>
    </row>
    <row r="126" spans="1:16" hidden="1" x14ac:dyDescent="0.25">
      <c r="A126">
        <v>125</v>
      </c>
      <c r="B126" t="s">
        <v>840</v>
      </c>
      <c r="C126" t="s">
        <v>834</v>
      </c>
      <c r="E126" s="35">
        <v>3532</v>
      </c>
      <c r="K126" t="s">
        <v>700</v>
      </c>
      <c r="M126" t="str">
        <f t="shared" si="4"/>
        <v>AT1T1I_Aftrtrtmnt1SCRCtlystTnkLvlPrlmnr</v>
      </c>
      <c r="N126" t="str">
        <f t="shared" si="5"/>
        <v>GVL_J1939.AT1T1I_Aftrtrtmnt1SCRCtlystTnkLvlPrlmnr</v>
      </c>
      <c r="O126" t="str">
        <f t="shared" si="6"/>
        <v>GVL_J1939.AT1T1I_Aftrtrtmnt1SCRCtlystTnkLvlPrlmnr;</v>
      </c>
      <c r="P126" t="str">
        <f t="shared" si="7"/>
        <v>AT1T1I_Aftrtrtmnt1SCRCtlystTnkLvlPrlmnr:USINT; // SPN:3532</v>
      </c>
    </row>
    <row r="127" spans="1:16" x14ac:dyDescent="0.25">
      <c r="A127">
        <v>126</v>
      </c>
      <c r="B127" t="s">
        <v>840</v>
      </c>
      <c r="C127" t="s">
        <v>835</v>
      </c>
      <c r="E127" s="35">
        <v>5245</v>
      </c>
      <c r="F127" t="s">
        <v>402</v>
      </c>
      <c r="K127" t="s">
        <v>700</v>
      </c>
      <c r="M127" t="str">
        <f t="shared" si="4"/>
        <v>AT1T1I_Aftrtrtmnt1DEFTnkLwLvlIndicator</v>
      </c>
      <c r="N127" t="str">
        <f t="shared" si="5"/>
        <v>GVL_J1939.AT1T1I_Aftrtrtmnt1DEFTnkLwLvlIndicator</v>
      </c>
      <c r="O127" t="str">
        <f t="shared" si="6"/>
        <v>GVL_J1939.AT1T1I_Aftrtrtmnt1DEFTnkLwLvlIndicator;</v>
      </c>
      <c r="P127" t="str">
        <f t="shared" si="7"/>
        <v>AT1T1I_Aftrtrtmnt1DEFTnkLwLvlIndicator:USINT; // SPN:5245</v>
      </c>
    </row>
    <row r="128" spans="1:16" hidden="1" x14ac:dyDescent="0.25">
      <c r="A128">
        <v>127</v>
      </c>
      <c r="B128" t="s">
        <v>840</v>
      </c>
      <c r="C128" t="s">
        <v>836</v>
      </c>
      <c r="E128" s="35">
        <v>4365</v>
      </c>
      <c r="K128" t="s">
        <v>700</v>
      </c>
      <c r="M128" t="str">
        <f t="shared" si="4"/>
        <v>AT1T1I_Aftrtrtmnt1SCRCtlystRgntTnk1TmpP</v>
      </c>
      <c r="N128" t="str">
        <f t="shared" si="5"/>
        <v>GVL_J1939.AT1T1I_Aftrtrtmnt1SCRCtlystRgntTnk1TmpP</v>
      </c>
      <c r="O128" t="str">
        <f t="shared" si="6"/>
        <v>GVL_J1939.AT1T1I_Aftrtrtmnt1SCRCtlystRgntTnk1TmpP;</v>
      </c>
      <c r="P128" t="str">
        <f t="shared" si="7"/>
        <v>AT1T1I_Aftrtrtmnt1SCRCtlystRgntTnk1TmpP:USINT; // SPN:4365</v>
      </c>
    </row>
    <row r="129" spans="1:16" x14ac:dyDescent="0.25">
      <c r="A129">
        <v>128</v>
      </c>
      <c r="B129" t="s">
        <v>840</v>
      </c>
      <c r="C129" t="s">
        <v>837</v>
      </c>
      <c r="E129" s="35">
        <v>5246</v>
      </c>
      <c r="F129" t="s">
        <v>402</v>
      </c>
      <c r="K129" t="s">
        <v>700</v>
      </c>
      <c r="M129" t="str">
        <f t="shared" si="4"/>
        <v>AT1T1I_AftrtrtmntSCROprtrIndcmntSvrity</v>
      </c>
      <c r="N129" t="str">
        <f t="shared" si="5"/>
        <v>GVL_J1939.AT1T1I_AftrtrtmntSCROprtrIndcmntSvrity</v>
      </c>
      <c r="O129" t="str">
        <f t="shared" si="6"/>
        <v>GVL_J1939.AT1T1I_AftrtrtmntSCROprtrIndcmntSvrity;</v>
      </c>
      <c r="P129" t="str">
        <f t="shared" si="7"/>
        <v>AT1T1I_AftrtrtmntSCROprtrIndcmntSvrity:USINT; // SPN:5246</v>
      </c>
    </row>
    <row r="130" spans="1:16" hidden="1" x14ac:dyDescent="0.25">
      <c r="A130">
        <v>129</v>
      </c>
      <c r="B130" t="s">
        <v>840</v>
      </c>
      <c r="C130" t="s">
        <v>838</v>
      </c>
      <c r="E130" s="35">
        <v>3363</v>
      </c>
      <c r="K130" t="s">
        <v>701</v>
      </c>
      <c r="M130" t="str">
        <f t="shared" si="4"/>
        <v>AT1T1I_Aftrtrtmnt1SCRCtalystTankHeater</v>
      </c>
      <c r="N130" t="str">
        <f t="shared" si="5"/>
        <v>GVL_J1939.AT1T1I_Aftrtrtmnt1SCRCtalystTankHeater</v>
      </c>
      <c r="O130" t="str">
        <f t="shared" si="6"/>
        <v>GVL_J1939.AT1T1I_Aftrtrtmnt1SCRCtalystTankHeater;</v>
      </c>
      <c r="P130" t="str">
        <f t="shared" si="7"/>
        <v>AT1T1I_Aftrtrtmnt1SCRCtalystTankHeater:REAL; // SPN:3363</v>
      </c>
    </row>
    <row r="131" spans="1:16" hidden="1" x14ac:dyDescent="0.25">
      <c r="A131">
        <v>130</v>
      </c>
      <c r="B131" t="s">
        <v>840</v>
      </c>
      <c r="C131" t="s">
        <v>839</v>
      </c>
      <c r="E131" s="35">
        <v>4366</v>
      </c>
      <c r="K131" t="s">
        <v>700</v>
      </c>
      <c r="M131" t="str">
        <f t="shared" ref="M131:M171" si="9">IF(C131&lt;&gt;"",_xlfn.CONCAT(B131,"_",C131),"")</f>
        <v>AT1T1I_Aftrtrtmnt1SCRCtlystRgntTnk1HtrP</v>
      </c>
      <c r="N131" t="str">
        <f t="shared" ref="N131:N171" si="10">_xlfn.CONCAT($N$1,M131)</f>
        <v>GVL_J1939.AT1T1I_Aftrtrtmnt1SCRCtlystRgntTnk1HtrP</v>
      </c>
      <c r="O131" t="str">
        <f t="shared" ref="O131:O171" si="11">_xlfn.CONCAT(N131,";")</f>
        <v>GVL_J1939.AT1T1I_Aftrtrtmnt1SCRCtlystRgntTnk1HtrP;</v>
      </c>
      <c r="P131" t="str">
        <f t="shared" ref="P131:P171" si="12">_xlfn.CONCAT(M131,":",K131,"; // SPN:",E131)</f>
        <v>AT1T1I_Aftrtrtmnt1SCRCtlystRgntTnk1HtrP:USINT; // SPN:4366</v>
      </c>
    </row>
    <row r="132" spans="1:16" hidden="1" x14ac:dyDescent="0.25">
      <c r="A132">
        <v>140</v>
      </c>
      <c r="B132" t="s">
        <v>657</v>
      </c>
      <c r="C132" t="s">
        <v>841</v>
      </c>
      <c r="E132" s="35">
        <v>4331</v>
      </c>
      <c r="K132" t="s">
        <v>701</v>
      </c>
      <c r="M132" t="str">
        <f t="shared" si="9"/>
        <v>A1SCRDSI1_Aftrtrtmnt1SCRActlDsngRgntQntty</v>
      </c>
      <c r="N132" t="str">
        <f t="shared" si="10"/>
        <v>GVL_J1939.A1SCRDSI1_Aftrtrtmnt1SCRActlDsngRgntQntty</v>
      </c>
      <c r="O132" t="str">
        <f t="shared" si="11"/>
        <v>GVL_J1939.A1SCRDSI1_Aftrtrtmnt1SCRActlDsngRgntQntty;</v>
      </c>
      <c r="P132" t="str">
        <f t="shared" si="12"/>
        <v>A1SCRDSI1_Aftrtrtmnt1SCRActlDsngRgntQntty:REAL; // SPN:4331</v>
      </c>
    </row>
    <row r="133" spans="1:16" x14ac:dyDescent="0.25">
      <c r="A133">
        <v>141</v>
      </c>
      <c r="B133" t="s">
        <v>657</v>
      </c>
      <c r="C133" t="s">
        <v>842</v>
      </c>
      <c r="E133" s="35">
        <v>4332</v>
      </c>
      <c r="F133" t="s">
        <v>402</v>
      </c>
      <c r="K133" t="s">
        <v>700</v>
      </c>
      <c r="M133" t="str">
        <f t="shared" si="9"/>
        <v>A1SCRDSI1_Aftertreatment1SCRSystemState</v>
      </c>
      <c r="N133" t="str">
        <f t="shared" si="10"/>
        <v>GVL_J1939.A1SCRDSI1_Aftertreatment1SCRSystemState</v>
      </c>
      <c r="O133" t="str">
        <f t="shared" si="11"/>
        <v>GVL_J1939.A1SCRDSI1_Aftertreatment1SCRSystemState;</v>
      </c>
      <c r="P133" t="str">
        <f t="shared" si="12"/>
        <v>A1SCRDSI1_Aftertreatment1SCRSystemState:USINT; // SPN:4332</v>
      </c>
    </row>
    <row r="134" spans="1:16" hidden="1" x14ac:dyDescent="0.25">
      <c r="A134">
        <v>142</v>
      </c>
      <c r="B134" t="s">
        <v>657</v>
      </c>
      <c r="C134" t="s">
        <v>843</v>
      </c>
      <c r="E134" s="35">
        <v>4333</v>
      </c>
      <c r="K134" t="s">
        <v>701</v>
      </c>
      <c r="M134" t="str">
        <f t="shared" si="9"/>
        <v>A1SCRDSI1_Aftrtrtmnt1SCRActlRgntQnttyOfInt</v>
      </c>
      <c r="N134" t="str">
        <f t="shared" si="10"/>
        <v>GVL_J1939.A1SCRDSI1_Aftrtrtmnt1SCRActlRgntQnttyOfInt</v>
      </c>
      <c r="O134" t="str">
        <f t="shared" si="11"/>
        <v>GVL_J1939.A1SCRDSI1_Aftrtrtmnt1SCRActlRgntQnttyOfInt;</v>
      </c>
      <c r="P134" t="str">
        <f t="shared" si="12"/>
        <v>A1SCRDSI1_Aftrtrtmnt1SCRActlRgntQnttyOfInt:REAL; // SPN:4333</v>
      </c>
    </row>
    <row r="135" spans="1:16" hidden="1" x14ac:dyDescent="0.25">
      <c r="A135">
        <v>143</v>
      </c>
      <c r="B135" t="s">
        <v>657</v>
      </c>
      <c r="C135" t="s">
        <v>844</v>
      </c>
      <c r="E135" s="35">
        <v>4334</v>
      </c>
      <c r="K135" t="s">
        <v>766</v>
      </c>
      <c r="M135" t="str">
        <f t="shared" si="9"/>
        <v>A1SCRDSI1_Aftrtrtmnt1SCRDsngRgentAbsPress</v>
      </c>
      <c r="N135" t="str">
        <f t="shared" si="10"/>
        <v>GVL_J1939.A1SCRDSI1_Aftrtrtmnt1SCRDsngRgentAbsPress</v>
      </c>
      <c r="O135" t="str">
        <f t="shared" si="11"/>
        <v>GVL_J1939.A1SCRDSI1_Aftrtrtmnt1SCRDsngRgentAbsPress;</v>
      </c>
      <c r="P135" t="str">
        <f t="shared" si="12"/>
        <v>A1SCRDSI1_Aftrtrtmnt1SCRDsngRgentAbsPress:UINT; // SPN:4334</v>
      </c>
    </row>
    <row r="136" spans="1:16" x14ac:dyDescent="0.25">
      <c r="A136">
        <v>144</v>
      </c>
      <c r="B136" t="s">
        <v>845</v>
      </c>
      <c r="C136" t="s">
        <v>846</v>
      </c>
      <c r="E136" s="35">
        <v>4360</v>
      </c>
      <c r="F136" t="s">
        <v>402</v>
      </c>
      <c r="K136" t="s">
        <v>701</v>
      </c>
      <c r="M136" t="str">
        <f t="shared" si="9"/>
        <v>A1SCREGT_Aftrtrtmnt1SCRCtlystIntkGasTemp</v>
      </c>
      <c r="N136" t="str">
        <f t="shared" si="10"/>
        <v>GVL_J1939.A1SCREGT_Aftrtrtmnt1SCRCtlystIntkGasTemp</v>
      </c>
      <c r="O136" t="str">
        <f t="shared" si="11"/>
        <v>GVL_J1939.A1SCREGT_Aftrtrtmnt1SCRCtlystIntkGasTemp;</v>
      </c>
      <c r="P136" t="str">
        <f t="shared" si="12"/>
        <v>A1SCREGT_Aftrtrtmnt1SCRCtlystIntkGasTemp:REAL; // SPN:4360</v>
      </c>
    </row>
    <row r="137" spans="1:16" hidden="1" x14ac:dyDescent="0.25">
      <c r="A137">
        <v>145</v>
      </c>
      <c r="B137" t="s">
        <v>845</v>
      </c>
      <c r="C137" t="s">
        <v>847</v>
      </c>
      <c r="E137" s="35">
        <v>4361</v>
      </c>
      <c r="K137" t="s">
        <v>700</v>
      </c>
      <c r="M137" t="str">
        <f t="shared" si="9"/>
        <v>A1SCREGT_Aftrtrtmnt1SCRCtlystIntkGsTmpPrl</v>
      </c>
      <c r="N137" t="str">
        <f t="shared" si="10"/>
        <v>GVL_J1939.A1SCREGT_Aftrtrtmnt1SCRCtlystIntkGsTmpPrl</v>
      </c>
      <c r="O137" t="str">
        <f t="shared" si="11"/>
        <v>GVL_J1939.A1SCREGT_Aftrtrtmnt1SCRCtlystIntkGsTmpPrl;</v>
      </c>
      <c r="P137" t="str">
        <f t="shared" si="12"/>
        <v>A1SCREGT_Aftrtrtmnt1SCRCtlystIntkGsTmpPrl:USINT; // SPN:4361</v>
      </c>
    </row>
    <row r="138" spans="1:16" hidden="1" x14ac:dyDescent="0.25">
      <c r="A138">
        <v>146</v>
      </c>
      <c r="B138" t="s">
        <v>845</v>
      </c>
      <c r="C138" t="s">
        <v>848</v>
      </c>
      <c r="E138" s="35">
        <v>4363</v>
      </c>
      <c r="K138" t="s">
        <v>701</v>
      </c>
      <c r="M138" t="str">
        <f t="shared" si="9"/>
        <v>A1SCREGT_Aftrtrtmnt1SCRCtlystOtltGasTemp</v>
      </c>
      <c r="N138" t="str">
        <f t="shared" si="10"/>
        <v>GVL_J1939.A1SCREGT_Aftrtrtmnt1SCRCtlystOtltGasTemp</v>
      </c>
      <c r="O138" t="str">
        <f t="shared" si="11"/>
        <v>GVL_J1939.A1SCREGT_Aftrtrtmnt1SCRCtlystOtltGasTemp;</v>
      </c>
      <c r="P138" t="str">
        <f t="shared" si="12"/>
        <v>A1SCREGT_Aftrtrtmnt1SCRCtlystOtltGasTemp:REAL; // SPN:4363</v>
      </c>
    </row>
    <row r="139" spans="1:16" hidden="1" x14ac:dyDescent="0.25">
      <c r="A139">
        <v>147</v>
      </c>
      <c r="B139" t="s">
        <v>845</v>
      </c>
      <c r="C139" t="s">
        <v>849</v>
      </c>
      <c r="E139" s="35">
        <v>4362</v>
      </c>
      <c r="K139" t="s">
        <v>700</v>
      </c>
      <c r="M139" t="str">
        <f t="shared" si="9"/>
        <v>A1SCREGT_Aftrtrtmnt1SCRCtlystOtltGsTmpPrl</v>
      </c>
      <c r="N139" t="str">
        <f t="shared" si="10"/>
        <v>GVL_J1939.A1SCREGT_Aftrtrtmnt1SCRCtlystOtltGsTmpPrl</v>
      </c>
      <c r="O139" t="str">
        <f t="shared" si="11"/>
        <v>GVL_J1939.A1SCREGT_Aftrtrtmnt1SCRCtlystOtltGsTmpPrl;</v>
      </c>
      <c r="P139" t="str">
        <f t="shared" si="12"/>
        <v>A1SCREGT_Aftrtrtmnt1SCRCtlystOtltGsTmpPrl:USINT; // SPN:4362</v>
      </c>
    </row>
    <row r="140" spans="1:16" x14ac:dyDescent="0.25">
      <c r="A140">
        <v>148</v>
      </c>
      <c r="B140" t="s">
        <v>667</v>
      </c>
      <c r="C140" t="s">
        <v>850</v>
      </c>
      <c r="E140" s="35">
        <v>4765</v>
      </c>
      <c r="F140" t="s">
        <v>402</v>
      </c>
      <c r="K140" t="s">
        <v>701</v>
      </c>
      <c r="M140" t="str">
        <f t="shared" si="9"/>
        <v>A1DOC_Aftrtrtmnt1DslOxdtnCtlystIn_0000</v>
      </c>
      <c r="N140" t="str">
        <f t="shared" si="10"/>
        <v>GVL_J1939.A1DOC_Aftrtrtmnt1DslOxdtnCtlystIn_0000</v>
      </c>
      <c r="O140" t="str">
        <f t="shared" si="11"/>
        <v>GVL_J1939.A1DOC_Aftrtrtmnt1DslOxdtnCtlystIn_0000;</v>
      </c>
      <c r="P140" t="str">
        <f t="shared" si="12"/>
        <v>A1DOC_Aftrtrtmnt1DslOxdtnCtlystIn_0000:REAL; // SPN:4765</v>
      </c>
    </row>
    <row r="141" spans="1:16" hidden="1" x14ac:dyDescent="0.25">
      <c r="A141">
        <v>149</v>
      </c>
      <c r="B141" t="s">
        <v>667</v>
      </c>
      <c r="C141" t="s">
        <v>851</v>
      </c>
      <c r="E141" s="35">
        <v>4766</v>
      </c>
      <c r="K141" t="s">
        <v>701</v>
      </c>
      <c r="M141" t="str">
        <f t="shared" si="9"/>
        <v>A1DOC_Aftrtrtmnt1DslOxdtnCtlystOt_0000</v>
      </c>
      <c r="N141" t="str">
        <f t="shared" si="10"/>
        <v>GVL_J1939.A1DOC_Aftrtrtmnt1DslOxdtnCtlystOt_0000</v>
      </c>
      <c r="O141" t="str">
        <f t="shared" si="11"/>
        <v>GVL_J1939.A1DOC_Aftrtrtmnt1DslOxdtnCtlystOt_0000;</v>
      </c>
      <c r="P141" t="str">
        <f t="shared" si="12"/>
        <v>A1DOC_Aftrtrtmnt1DslOxdtnCtlystOt_0000:REAL; // SPN:4766</v>
      </c>
    </row>
    <row r="142" spans="1:16" hidden="1" x14ac:dyDescent="0.25">
      <c r="A142">
        <v>150</v>
      </c>
      <c r="B142" t="s">
        <v>667</v>
      </c>
      <c r="C142" t="s">
        <v>852</v>
      </c>
      <c r="E142" s="35">
        <v>4767</v>
      </c>
      <c r="K142" t="s">
        <v>701</v>
      </c>
      <c r="M142" t="str">
        <f t="shared" si="9"/>
        <v>A1DOC_Aftrtrtmnt1DslOxdtnCtlystDffPrss</v>
      </c>
      <c r="N142" t="str">
        <f t="shared" si="10"/>
        <v>GVL_J1939.A1DOC_Aftrtrtmnt1DslOxdtnCtlystDffPrss</v>
      </c>
      <c r="O142" t="str">
        <f t="shared" si="11"/>
        <v>GVL_J1939.A1DOC_Aftrtrtmnt1DslOxdtnCtlystDffPrss;</v>
      </c>
      <c r="P142" t="str">
        <f t="shared" si="12"/>
        <v>A1DOC_Aftrtrtmnt1DslOxdtnCtlystDffPrss:REAL; // SPN:4767</v>
      </c>
    </row>
    <row r="143" spans="1:16" hidden="1" x14ac:dyDescent="0.25">
      <c r="A143">
        <v>151</v>
      </c>
      <c r="B143" t="s">
        <v>667</v>
      </c>
      <c r="C143" t="s">
        <v>853</v>
      </c>
      <c r="E143" s="35">
        <v>4768</v>
      </c>
      <c r="K143" t="s">
        <v>700</v>
      </c>
      <c r="M143" t="str">
        <f t="shared" si="9"/>
        <v>A1DOC_Aftrtrtmnt1DslOxdtnCtlystIntkGsT</v>
      </c>
      <c r="N143" t="str">
        <f t="shared" si="10"/>
        <v>GVL_J1939.A1DOC_Aftrtrtmnt1DslOxdtnCtlystIntkGsT</v>
      </c>
      <c r="O143" t="str">
        <f t="shared" si="11"/>
        <v>GVL_J1939.A1DOC_Aftrtrtmnt1DslOxdtnCtlystIntkGsT;</v>
      </c>
      <c r="P143" t="str">
        <f t="shared" si="12"/>
        <v>A1DOC_Aftrtrtmnt1DslOxdtnCtlystIntkGsT:USINT; // SPN:4768</v>
      </c>
    </row>
    <row r="144" spans="1:16" hidden="1" x14ac:dyDescent="0.25">
      <c r="A144">
        <v>152</v>
      </c>
      <c r="B144" t="s">
        <v>667</v>
      </c>
      <c r="C144" t="s">
        <v>854</v>
      </c>
      <c r="E144" s="35">
        <v>4769</v>
      </c>
      <c r="K144" t="s">
        <v>700</v>
      </c>
      <c r="M144" t="str">
        <f t="shared" si="9"/>
        <v>A1DOC_Aftrtrtmnt1DslOxdtnCtlystOtltGsT</v>
      </c>
      <c r="N144" t="str">
        <f t="shared" si="10"/>
        <v>GVL_J1939.A1DOC_Aftrtrtmnt1DslOxdtnCtlystOtltGsT</v>
      </c>
      <c r="O144" t="str">
        <f t="shared" si="11"/>
        <v>GVL_J1939.A1DOC_Aftrtrtmnt1DslOxdtnCtlystOtltGsT;</v>
      </c>
      <c r="P144" t="str">
        <f t="shared" si="12"/>
        <v>A1DOC_Aftrtrtmnt1DslOxdtnCtlystOtltGsT:USINT; // SPN:4769</v>
      </c>
    </row>
    <row r="145" spans="1:16" hidden="1" x14ac:dyDescent="0.25">
      <c r="A145">
        <v>153</v>
      </c>
      <c r="B145" t="s">
        <v>667</v>
      </c>
      <c r="C145" t="s">
        <v>855</v>
      </c>
      <c r="E145" s="35">
        <v>4770</v>
      </c>
      <c r="K145" t="s">
        <v>700</v>
      </c>
      <c r="M145" t="str">
        <f t="shared" si="9"/>
        <v>A1DOC_Aftrtrtmnt1DslOxdtnCtlystDf_0000</v>
      </c>
      <c r="N145" t="str">
        <f t="shared" si="10"/>
        <v>GVL_J1939.A1DOC_Aftrtrtmnt1DslOxdtnCtlystDf_0000</v>
      </c>
      <c r="O145" t="str">
        <f t="shared" si="11"/>
        <v>GVL_J1939.A1DOC_Aftrtrtmnt1DslOxdtnCtlystDf_0000;</v>
      </c>
      <c r="P145" t="str">
        <f t="shared" si="12"/>
        <v>A1DOC_Aftrtrtmnt1DslOxdtnCtlystDf_0000:USINT; // SPN:4770</v>
      </c>
    </row>
    <row r="146" spans="1:16" x14ac:dyDescent="0.25">
      <c r="A146">
        <v>154</v>
      </c>
      <c r="B146" t="s">
        <v>856</v>
      </c>
      <c r="C146" t="s">
        <v>857</v>
      </c>
      <c r="E146" s="35">
        <v>97</v>
      </c>
      <c r="F146" t="s">
        <v>402</v>
      </c>
      <c r="K146" t="s">
        <v>700</v>
      </c>
      <c r="M146" t="str">
        <f t="shared" si="9"/>
        <v>WFI_WaterInFuelIndicator</v>
      </c>
      <c r="N146" t="str">
        <f t="shared" si="10"/>
        <v>GVL_J1939.WFI_WaterInFuelIndicator</v>
      </c>
      <c r="O146" t="str">
        <f t="shared" si="11"/>
        <v>GVL_J1939.WFI_WaterInFuelIndicator;</v>
      </c>
      <c r="P146" t="str">
        <f t="shared" si="12"/>
        <v>WFI_WaterInFuelIndicator:USINT; // SPN:97</v>
      </c>
    </row>
    <row r="147" spans="1:16" hidden="1" x14ac:dyDescent="0.25">
      <c r="A147">
        <v>155</v>
      </c>
      <c r="B147" t="s">
        <v>678</v>
      </c>
      <c r="C147" t="s">
        <v>858</v>
      </c>
      <c r="E147" s="35">
        <v>5077</v>
      </c>
      <c r="K147" t="s">
        <v>700</v>
      </c>
      <c r="L147">
        <v>1</v>
      </c>
      <c r="M147" t="str">
        <f t="shared" si="9"/>
        <v>DLCC1_EngProtectLampCmd</v>
      </c>
      <c r="N147" t="str">
        <f t="shared" si="10"/>
        <v>GVL_J1939.DLCC1_EngProtectLampCmd</v>
      </c>
      <c r="O147" t="str">
        <f t="shared" si="11"/>
        <v>GVL_J1939.DLCC1_EngProtectLampCmd;</v>
      </c>
      <c r="P147" t="str">
        <f t="shared" si="12"/>
        <v>DLCC1_EngProtectLampCmd:USINT; // SPN:5077</v>
      </c>
    </row>
    <row r="148" spans="1:16" hidden="1" x14ac:dyDescent="0.25">
      <c r="A148">
        <v>156</v>
      </c>
      <c r="B148" t="s">
        <v>678</v>
      </c>
      <c r="C148" t="s">
        <v>859</v>
      </c>
      <c r="E148" s="35">
        <v>5078</v>
      </c>
      <c r="K148" t="s">
        <v>700</v>
      </c>
      <c r="L148">
        <v>2</v>
      </c>
      <c r="M148" t="str">
        <f t="shared" si="9"/>
        <v>DLCC1_EngAmberWarningLampCmd</v>
      </c>
      <c r="N148" t="str">
        <f t="shared" si="10"/>
        <v>GVL_J1939.DLCC1_EngAmberWarningLampCmd</v>
      </c>
      <c r="O148" t="str">
        <f t="shared" si="11"/>
        <v>GVL_J1939.DLCC1_EngAmberWarningLampCmd;</v>
      </c>
      <c r="P148" t="str">
        <f t="shared" si="12"/>
        <v>DLCC1_EngAmberWarningLampCmd:USINT; // SPN:5078</v>
      </c>
    </row>
    <row r="149" spans="1:16" hidden="1" x14ac:dyDescent="0.25">
      <c r="A149">
        <v>157</v>
      </c>
      <c r="B149" t="s">
        <v>678</v>
      </c>
      <c r="C149" t="s">
        <v>860</v>
      </c>
      <c r="E149" s="35">
        <v>5079</v>
      </c>
      <c r="K149" t="s">
        <v>700</v>
      </c>
      <c r="L149">
        <v>3</v>
      </c>
      <c r="M149" t="str">
        <f t="shared" si="9"/>
        <v>DLCC1_EngRedStopLampCmd</v>
      </c>
      <c r="N149" t="str">
        <f t="shared" si="10"/>
        <v>GVL_J1939.DLCC1_EngRedStopLampCmd</v>
      </c>
      <c r="O149" t="str">
        <f t="shared" si="11"/>
        <v>GVL_J1939.DLCC1_EngRedStopLampCmd;</v>
      </c>
      <c r="P149" t="str">
        <f t="shared" si="12"/>
        <v>DLCC1_EngRedStopLampCmd:USINT; // SPN:5079</v>
      </c>
    </row>
    <row r="150" spans="1:16" hidden="1" x14ac:dyDescent="0.25">
      <c r="A150">
        <v>158</v>
      </c>
      <c r="B150" t="s">
        <v>678</v>
      </c>
      <c r="C150" t="s">
        <v>861</v>
      </c>
      <c r="E150" s="35">
        <v>5080</v>
      </c>
      <c r="K150" t="s">
        <v>700</v>
      </c>
      <c r="L150">
        <v>4</v>
      </c>
      <c r="M150" t="str">
        <f t="shared" si="9"/>
        <v>DLCC1_OBDMalfunctionIndicatorLampCmd</v>
      </c>
      <c r="N150" t="str">
        <f t="shared" si="10"/>
        <v>GVL_J1939.DLCC1_OBDMalfunctionIndicatorLampCmd</v>
      </c>
      <c r="O150" t="str">
        <f t="shared" si="11"/>
        <v>GVL_J1939.DLCC1_OBDMalfunctionIndicatorLampCmd;</v>
      </c>
      <c r="P150" t="str">
        <f t="shared" si="12"/>
        <v>DLCC1_OBDMalfunctionIndicatorLampCmd:USINT; // SPN:5080</v>
      </c>
    </row>
    <row r="151" spans="1:16" hidden="1" x14ac:dyDescent="0.25">
      <c r="A151">
        <v>159</v>
      </c>
      <c r="B151" t="s">
        <v>678</v>
      </c>
      <c r="C151" t="s">
        <v>862</v>
      </c>
      <c r="E151" s="35">
        <v>5081</v>
      </c>
      <c r="K151" t="s">
        <v>700</v>
      </c>
      <c r="L151">
        <v>5</v>
      </c>
      <c r="M151" t="str">
        <f t="shared" si="9"/>
        <v>DLCC1_EngBrakeActiveLampCmd</v>
      </c>
      <c r="N151" t="str">
        <f t="shared" si="10"/>
        <v>GVL_J1939.DLCC1_EngBrakeActiveLampCmd</v>
      </c>
      <c r="O151" t="str">
        <f t="shared" si="11"/>
        <v>GVL_J1939.DLCC1_EngBrakeActiveLampCmd;</v>
      </c>
      <c r="P151" t="str">
        <f t="shared" si="12"/>
        <v>DLCC1_EngBrakeActiveLampCmd:USINT; // SPN:5081</v>
      </c>
    </row>
    <row r="152" spans="1:16" hidden="1" x14ac:dyDescent="0.25">
      <c r="A152">
        <v>160</v>
      </c>
      <c r="B152" t="s">
        <v>678</v>
      </c>
      <c r="C152" t="s">
        <v>863</v>
      </c>
      <c r="E152" s="35">
        <v>3987</v>
      </c>
      <c r="K152" t="s">
        <v>700</v>
      </c>
      <c r="L152">
        <v>6</v>
      </c>
      <c r="M152" t="str">
        <f t="shared" si="9"/>
        <v>DLCC1_CmprssnBrkEnblSwtchIndctrLmpCmd</v>
      </c>
      <c r="N152" t="str">
        <f t="shared" si="10"/>
        <v>GVL_J1939.DLCC1_CmprssnBrkEnblSwtchIndctrLmpCmd</v>
      </c>
      <c r="O152" t="str">
        <f t="shared" si="11"/>
        <v>GVL_J1939.DLCC1_CmprssnBrkEnblSwtchIndctrLmpCmd;</v>
      </c>
      <c r="P152" t="str">
        <f t="shared" si="12"/>
        <v>DLCC1_CmprssnBrkEnblSwtchIndctrLmpCmd:USINT; // SPN:3987</v>
      </c>
    </row>
    <row r="153" spans="1:16" hidden="1" x14ac:dyDescent="0.25">
      <c r="A153">
        <v>161</v>
      </c>
      <c r="B153" t="s">
        <v>678</v>
      </c>
      <c r="C153" t="s">
        <v>864</v>
      </c>
      <c r="E153" s="35">
        <v>5082</v>
      </c>
      <c r="K153" t="s">
        <v>700</v>
      </c>
      <c r="L153">
        <v>7</v>
      </c>
      <c r="M153" t="str">
        <f t="shared" si="9"/>
        <v>DLCC1_EngOilPressLowLampCmd</v>
      </c>
      <c r="N153" t="str">
        <f t="shared" si="10"/>
        <v>GVL_J1939.DLCC1_EngOilPressLowLampCmd</v>
      </c>
      <c r="O153" t="str">
        <f t="shared" si="11"/>
        <v>GVL_J1939.DLCC1_EngOilPressLowLampCmd;</v>
      </c>
      <c r="P153" t="str">
        <f t="shared" si="12"/>
        <v>DLCC1_EngOilPressLowLampCmd:USINT; // SPN:5082</v>
      </c>
    </row>
    <row r="154" spans="1:16" hidden="1" x14ac:dyDescent="0.25">
      <c r="A154">
        <v>162</v>
      </c>
      <c r="B154" t="s">
        <v>678</v>
      </c>
      <c r="C154" t="s">
        <v>865</v>
      </c>
      <c r="E154" s="35">
        <v>5083</v>
      </c>
      <c r="K154" t="s">
        <v>700</v>
      </c>
      <c r="L154">
        <v>8</v>
      </c>
      <c r="M154" t="str">
        <f t="shared" si="9"/>
        <v>DLCC1_EngCoolantTempHighLampCmd</v>
      </c>
      <c r="N154" t="str">
        <f t="shared" si="10"/>
        <v>GVL_J1939.DLCC1_EngCoolantTempHighLampCmd</v>
      </c>
      <c r="O154" t="str">
        <f t="shared" si="11"/>
        <v>GVL_J1939.DLCC1_EngCoolantTempHighLampCmd;</v>
      </c>
      <c r="P154" t="str">
        <f t="shared" si="12"/>
        <v>DLCC1_EngCoolantTempHighLampCmd:USINT; // SPN:5083</v>
      </c>
    </row>
    <row r="155" spans="1:16" hidden="1" x14ac:dyDescent="0.25">
      <c r="A155">
        <v>163</v>
      </c>
      <c r="B155" t="s">
        <v>678</v>
      </c>
      <c r="C155" t="s">
        <v>866</v>
      </c>
      <c r="E155" s="35">
        <v>5084</v>
      </c>
      <c r="K155" t="s">
        <v>700</v>
      </c>
      <c r="L155">
        <v>9</v>
      </c>
      <c r="M155" t="str">
        <f t="shared" si="9"/>
        <v>DLCC1_EngCoolantLevelLowLampCmd</v>
      </c>
      <c r="N155" t="str">
        <f t="shared" si="10"/>
        <v>GVL_J1939.DLCC1_EngCoolantLevelLowLampCmd</v>
      </c>
      <c r="O155" t="str">
        <f t="shared" si="11"/>
        <v>GVL_J1939.DLCC1_EngCoolantLevelLowLampCmd;</v>
      </c>
      <c r="P155" t="str">
        <f t="shared" si="12"/>
        <v>DLCC1_EngCoolantLevelLowLampCmd:USINT; // SPN:5084</v>
      </c>
    </row>
    <row r="156" spans="1:16" hidden="1" x14ac:dyDescent="0.25">
      <c r="A156">
        <v>164</v>
      </c>
      <c r="B156" t="s">
        <v>678</v>
      </c>
      <c r="C156" t="s">
        <v>867</v>
      </c>
      <c r="E156" s="35">
        <v>5085</v>
      </c>
      <c r="K156" t="s">
        <v>700</v>
      </c>
      <c r="L156">
        <v>10</v>
      </c>
      <c r="M156" t="str">
        <f t="shared" si="9"/>
        <v>DLCC1_EngIdleManagementActiveLampCmd</v>
      </c>
      <c r="N156" t="str">
        <f t="shared" si="10"/>
        <v>GVL_J1939.DLCC1_EngIdleManagementActiveLampCmd</v>
      </c>
      <c r="O156" t="str">
        <f t="shared" si="11"/>
        <v>GVL_J1939.DLCC1_EngIdleManagementActiveLampCmd;</v>
      </c>
      <c r="P156" t="str">
        <f t="shared" si="12"/>
        <v>DLCC1_EngIdleManagementActiveLampCmd:USINT; // SPN:5085</v>
      </c>
    </row>
    <row r="157" spans="1:16" x14ac:dyDescent="0.25">
      <c r="A157">
        <v>165</v>
      </c>
      <c r="B157" t="s">
        <v>678</v>
      </c>
      <c r="C157" t="s">
        <v>868</v>
      </c>
      <c r="E157" s="35">
        <v>5086</v>
      </c>
      <c r="F157" t="s">
        <v>402</v>
      </c>
      <c r="K157" t="s">
        <v>700</v>
      </c>
      <c r="L157">
        <v>11</v>
      </c>
      <c r="M157" t="str">
        <f t="shared" si="9"/>
        <v>DLCC1_EngAirFilterRestrictionLampCmd</v>
      </c>
      <c r="N157" t="str">
        <f t="shared" si="10"/>
        <v>GVL_J1939.DLCC1_EngAirFilterRestrictionLampCmd</v>
      </c>
      <c r="O157" t="str">
        <f t="shared" si="11"/>
        <v>GVL_J1939.DLCC1_EngAirFilterRestrictionLampCmd;</v>
      </c>
      <c r="P157" t="str">
        <f t="shared" si="12"/>
        <v>DLCC1_EngAirFilterRestrictionLampCmd:USINT; // SPN:5086</v>
      </c>
    </row>
    <row r="158" spans="1:16" hidden="1" x14ac:dyDescent="0.25">
      <c r="A158">
        <v>166</v>
      </c>
      <c r="B158" t="s">
        <v>678</v>
      </c>
      <c r="C158" t="s">
        <v>869</v>
      </c>
      <c r="E158" s="35">
        <v>5469</v>
      </c>
      <c r="K158" t="s">
        <v>700</v>
      </c>
      <c r="L158">
        <v>12</v>
      </c>
      <c r="M158" t="str">
        <f t="shared" si="9"/>
        <v>DLCC1_EngFuelFilterRestrictedLampCmd</v>
      </c>
      <c r="N158" t="str">
        <f t="shared" si="10"/>
        <v>GVL_J1939.DLCC1_EngFuelFilterRestrictedLampCmd</v>
      </c>
      <c r="O158" t="str">
        <f t="shared" si="11"/>
        <v>GVL_J1939.DLCC1_EngFuelFilterRestrictedLampCmd;</v>
      </c>
      <c r="P158" t="str">
        <f t="shared" si="12"/>
        <v>DLCC1_EngFuelFilterRestrictedLampCmd:USINT; // SPN:5469</v>
      </c>
    </row>
    <row r="159" spans="1:16" hidden="1" x14ac:dyDescent="0.25">
      <c r="A159">
        <v>167</v>
      </c>
      <c r="B159" t="s">
        <v>870</v>
      </c>
      <c r="C159" t="s">
        <v>871</v>
      </c>
      <c r="E159" s="35">
        <v>5093</v>
      </c>
      <c r="K159" t="s">
        <v>700</v>
      </c>
      <c r="L159">
        <v>1</v>
      </c>
      <c r="M159" t="str">
        <f t="shared" si="9"/>
        <v>DLCD1_EngProtectLampData</v>
      </c>
      <c r="N159" t="str">
        <f t="shared" si="10"/>
        <v>GVL_J1939.DLCD1_EngProtectLampData</v>
      </c>
      <c r="O159" t="str">
        <f t="shared" si="11"/>
        <v>GVL_J1939.DLCD1_EngProtectLampData;</v>
      </c>
      <c r="P159" t="str">
        <f t="shared" si="12"/>
        <v>DLCD1_EngProtectLampData:USINT; // SPN:5093</v>
      </c>
    </row>
    <row r="160" spans="1:16" hidden="1" x14ac:dyDescent="0.25">
      <c r="A160">
        <v>168</v>
      </c>
      <c r="B160" t="s">
        <v>870</v>
      </c>
      <c r="C160" t="s">
        <v>872</v>
      </c>
      <c r="E160" s="35">
        <v>5094</v>
      </c>
      <c r="K160" t="s">
        <v>700</v>
      </c>
      <c r="L160">
        <v>2</v>
      </c>
      <c r="M160" t="str">
        <f t="shared" si="9"/>
        <v>DLCD1_EngAmberWarningLampData</v>
      </c>
      <c r="N160" t="str">
        <f t="shared" si="10"/>
        <v>GVL_J1939.DLCD1_EngAmberWarningLampData</v>
      </c>
      <c r="O160" t="str">
        <f t="shared" si="11"/>
        <v>GVL_J1939.DLCD1_EngAmberWarningLampData;</v>
      </c>
      <c r="P160" t="str">
        <f t="shared" si="12"/>
        <v>DLCD1_EngAmberWarningLampData:USINT; // SPN:5094</v>
      </c>
    </row>
    <row r="161" spans="1:16" hidden="1" x14ac:dyDescent="0.25">
      <c r="A161">
        <v>169</v>
      </c>
      <c r="B161" t="s">
        <v>870</v>
      </c>
      <c r="C161" t="s">
        <v>873</v>
      </c>
      <c r="E161" s="35">
        <v>5095</v>
      </c>
      <c r="K161" t="s">
        <v>700</v>
      </c>
      <c r="L161">
        <v>3</v>
      </c>
      <c r="M161" t="str">
        <f t="shared" si="9"/>
        <v>DLCD1_EngRedStopLampData</v>
      </c>
      <c r="N161" t="str">
        <f t="shared" si="10"/>
        <v>GVL_J1939.DLCD1_EngRedStopLampData</v>
      </c>
      <c r="O161" t="str">
        <f t="shared" si="11"/>
        <v>GVL_J1939.DLCD1_EngRedStopLampData;</v>
      </c>
      <c r="P161" t="str">
        <f t="shared" si="12"/>
        <v>DLCD1_EngRedStopLampData:USINT; // SPN:5095</v>
      </c>
    </row>
    <row r="162" spans="1:16" hidden="1" x14ac:dyDescent="0.25">
      <c r="A162">
        <v>170</v>
      </c>
      <c r="B162" t="s">
        <v>870</v>
      </c>
      <c r="C162" t="s">
        <v>874</v>
      </c>
      <c r="E162" s="35">
        <v>5096</v>
      </c>
      <c r="K162" t="s">
        <v>700</v>
      </c>
      <c r="L162">
        <v>4</v>
      </c>
      <c r="M162" t="str">
        <f t="shared" si="9"/>
        <v>DLCD1_OBDMalfunctionIndicatorLampData</v>
      </c>
      <c r="N162" t="str">
        <f t="shared" si="10"/>
        <v>GVL_J1939.DLCD1_OBDMalfunctionIndicatorLampData</v>
      </c>
      <c r="O162" t="str">
        <f t="shared" si="11"/>
        <v>GVL_J1939.DLCD1_OBDMalfunctionIndicatorLampData;</v>
      </c>
      <c r="P162" t="str">
        <f t="shared" si="12"/>
        <v>DLCD1_OBDMalfunctionIndicatorLampData:USINT; // SPN:5096</v>
      </c>
    </row>
    <row r="163" spans="1:16" hidden="1" x14ac:dyDescent="0.25">
      <c r="A163">
        <v>171</v>
      </c>
      <c r="B163" t="s">
        <v>870</v>
      </c>
      <c r="C163" t="s">
        <v>875</v>
      </c>
      <c r="E163" s="35">
        <v>5097</v>
      </c>
      <c r="K163" t="s">
        <v>700</v>
      </c>
      <c r="L163">
        <v>5</v>
      </c>
      <c r="M163" t="str">
        <f t="shared" si="9"/>
        <v>DLCD1_EngBrakeActiveLampData</v>
      </c>
      <c r="N163" t="str">
        <f t="shared" si="10"/>
        <v>GVL_J1939.DLCD1_EngBrakeActiveLampData</v>
      </c>
      <c r="O163" t="str">
        <f t="shared" si="11"/>
        <v>GVL_J1939.DLCD1_EngBrakeActiveLampData;</v>
      </c>
      <c r="P163" t="str">
        <f t="shared" si="12"/>
        <v>DLCD1_EngBrakeActiveLampData:USINT; // SPN:5097</v>
      </c>
    </row>
    <row r="164" spans="1:16" hidden="1" x14ac:dyDescent="0.25">
      <c r="A164">
        <v>172</v>
      </c>
      <c r="B164" t="s">
        <v>870</v>
      </c>
      <c r="C164" t="s">
        <v>876</v>
      </c>
      <c r="E164" s="35">
        <v>5098</v>
      </c>
      <c r="K164" t="s">
        <v>700</v>
      </c>
      <c r="L164">
        <v>6</v>
      </c>
      <c r="M164" t="str">
        <f t="shared" si="9"/>
        <v>DLCD1_CmprssnBrkEnblSwtchIndctrLmpDta</v>
      </c>
      <c r="N164" t="str">
        <f t="shared" si="10"/>
        <v>GVL_J1939.DLCD1_CmprssnBrkEnblSwtchIndctrLmpDta</v>
      </c>
      <c r="O164" t="str">
        <f t="shared" si="11"/>
        <v>GVL_J1939.DLCD1_CmprssnBrkEnblSwtchIndctrLmpDta;</v>
      </c>
      <c r="P164" t="str">
        <f t="shared" si="12"/>
        <v>DLCD1_CmprssnBrkEnblSwtchIndctrLmpDta:USINT; // SPN:5098</v>
      </c>
    </row>
    <row r="165" spans="1:16" x14ac:dyDescent="0.25">
      <c r="A165">
        <v>173</v>
      </c>
      <c r="B165" t="s">
        <v>870</v>
      </c>
      <c r="C165" t="s">
        <v>877</v>
      </c>
      <c r="E165" s="35">
        <v>5099</v>
      </c>
      <c r="F165" t="s">
        <v>402</v>
      </c>
      <c r="K165" t="s">
        <v>700</v>
      </c>
      <c r="L165">
        <v>7</v>
      </c>
      <c r="M165" t="str">
        <f t="shared" si="9"/>
        <v>DLCD1_EngOilPressLowLampData</v>
      </c>
      <c r="N165" t="str">
        <f t="shared" si="10"/>
        <v>GVL_J1939.DLCD1_EngOilPressLowLampData</v>
      </c>
      <c r="O165" t="str">
        <f t="shared" si="11"/>
        <v>GVL_J1939.DLCD1_EngOilPressLowLampData;</v>
      </c>
      <c r="P165" t="str">
        <f t="shared" si="12"/>
        <v>DLCD1_EngOilPressLowLampData:USINT; // SPN:5099</v>
      </c>
    </row>
    <row r="166" spans="1:16" hidden="1" x14ac:dyDescent="0.25">
      <c r="A166">
        <v>174</v>
      </c>
      <c r="B166" t="s">
        <v>870</v>
      </c>
      <c r="C166" t="s">
        <v>878</v>
      </c>
      <c r="E166" s="35">
        <v>5100</v>
      </c>
      <c r="K166" t="s">
        <v>700</v>
      </c>
      <c r="L166">
        <v>8</v>
      </c>
      <c r="M166" t="str">
        <f t="shared" si="9"/>
        <v>DLCD1_EngCoolantTempHighLampData</v>
      </c>
      <c r="N166" t="str">
        <f t="shared" si="10"/>
        <v>GVL_J1939.DLCD1_EngCoolantTempHighLampData</v>
      </c>
      <c r="O166" t="str">
        <f t="shared" si="11"/>
        <v>GVL_J1939.DLCD1_EngCoolantTempHighLampData;</v>
      </c>
      <c r="P166" t="str">
        <f t="shared" si="12"/>
        <v>DLCD1_EngCoolantTempHighLampData:USINT; // SPN:5100</v>
      </c>
    </row>
    <row r="167" spans="1:16" x14ac:dyDescent="0.25">
      <c r="A167">
        <v>175</v>
      </c>
      <c r="B167" t="s">
        <v>870</v>
      </c>
      <c r="C167" t="s">
        <v>879</v>
      </c>
      <c r="E167" s="35">
        <v>5101</v>
      </c>
      <c r="F167" t="s">
        <v>402</v>
      </c>
      <c r="K167" t="s">
        <v>700</v>
      </c>
      <c r="L167">
        <v>9</v>
      </c>
      <c r="M167" t="str">
        <f t="shared" si="9"/>
        <v>DLCD1_EngCoolantLevelLowLampData</v>
      </c>
      <c r="N167" t="str">
        <f t="shared" si="10"/>
        <v>GVL_J1939.DLCD1_EngCoolantLevelLowLampData</v>
      </c>
      <c r="O167" t="str">
        <f t="shared" si="11"/>
        <v>GVL_J1939.DLCD1_EngCoolantLevelLowLampData;</v>
      </c>
      <c r="P167" t="str">
        <f t="shared" si="12"/>
        <v>DLCD1_EngCoolantLevelLowLampData:USINT; // SPN:5101</v>
      </c>
    </row>
    <row r="168" spans="1:16" hidden="1" x14ac:dyDescent="0.25">
      <c r="A168">
        <v>176</v>
      </c>
      <c r="B168" t="s">
        <v>870</v>
      </c>
      <c r="C168" t="s">
        <v>880</v>
      </c>
      <c r="E168" s="35">
        <v>5102</v>
      </c>
      <c r="K168" t="s">
        <v>700</v>
      </c>
      <c r="L168">
        <v>10</v>
      </c>
      <c r="M168" t="str">
        <f t="shared" si="9"/>
        <v>DLCD1_EngIdleManagementActiveLampData</v>
      </c>
      <c r="N168" t="str">
        <f t="shared" si="10"/>
        <v>GVL_J1939.DLCD1_EngIdleManagementActiveLampData</v>
      </c>
      <c r="O168" t="str">
        <f t="shared" si="11"/>
        <v>GVL_J1939.DLCD1_EngIdleManagementActiveLampData;</v>
      </c>
      <c r="P168" t="str">
        <f t="shared" si="12"/>
        <v>DLCD1_EngIdleManagementActiveLampData:USINT; // SPN:5102</v>
      </c>
    </row>
    <row r="169" spans="1:16" hidden="1" x14ac:dyDescent="0.25">
      <c r="A169">
        <v>177</v>
      </c>
      <c r="B169" t="s">
        <v>870</v>
      </c>
      <c r="C169" t="s">
        <v>881</v>
      </c>
      <c r="E169" s="35">
        <v>5103</v>
      </c>
      <c r="K169" t="s">
        <v>700</v>
      </c>
      <c r="L169">
        <v>11</v>
      </c>
      <c r="M169" t="str">
        <f t="shared" si="9"/>
        <v>DLCD1_EngAirFilterRestrictionLampData</v>
      </c>
      <c r="N169" t="str">
        <f t="shared" si="10"/>
        <v>GVL_J1939.DLCD1_EngAirFilterRestrictionLampData</v>
      </c>
      <c r="O169" t="str">
        <f t="shared" si="11"/>
        <v>GVL_J1939.DLCD1_EngAirFilterRestrictionLampData;</v>
      </c>
      <c r="P169" t="str">
        <f t="shared" si="12"/>
        <v>DLCD1_EngAirFilterRestrictionLampData:USINT; // SPN:5103</v>
      </c>
    </row>
    <row r="170" spans="1:16" hidden="1" x14ac:dyDescent="0.25">
      <c r="A170">
        <v>178</v>
      </c>
      <c r="B170" t="s">
        <v>870</v>
      </c>
      <c r="C170" t="s">
        <v>882</v>
      </c>
      <c r="E170" s="35">
        <v>5470</v>
      </c>
      <c r="K170" t="s">
        <v>700</v>
      </c>
      <c r="L170">
        <v>12</v>
      </c>
      <c r="M170" t="str">
        <f t="shared" si="9"/>
        <v>DLCD1_EngFuelFilterRestrictedLampData</v>
      </c>
      <c r="N170" t="str">
        <f t="shared" si="10"/>
        <v>GVL_J1939.DLCD1_EngFuelFilterRestrictedLampData</v>
      </c>
      <c r="O170" t="str">
        <f t="shared" si="11"/>
        <v>GVL_J1939.DLCD1_EngFuelFilterRestrictedLampData;</v>
      </c>
      <c r="P170" t="str">
        <f t="shared" si="12"/>
        <v>DLCD1_EngFuelFilterRestrictedLampData:USINT; // SPN:5470</v>
      </c>
    </row>
    <row r="171" spans="1:16" hidden="1" x14ac:dyDescent="0.25">
      <c r="A171">
        <v>179</v>
      </c>
      <c r="B171" t="s">
        <v>870</v>
      </c>
      <c r="C171" t="s">
        <v>883</v>
      </c>
      <c r="E171" s="35">
        <v>5416</v>
      </c>
      <c r="K171" t="s">
        <v>700</v>
      </c>
      <c r="L171">
        <v>13</v>
      </c>
      <c r="M171" t="str">
        <f t="shared" si="9"/>
        <v>DLCD1_EngWaitToStartLampData</v>
      </c>
      <c r="N171" t="str">
        <f t="shared" si="10"/>
        <v>GVL_J1939.DLCD1_EngWaitToStartLampData</v>
      </c>
      <c r="O171" t="str">
        <f t="shared" si="11"/>
        <v>GVL_J1939.DLCD1_EngWaitToStartLampData;</v>
      </c>
      <c r="P171" t="str">
        <f t="shared" si="12"/>
        <v>DLCD1_EngWaitToStartLampData:USINT; // SPN:5416</v>
      </c>
    </row>
  </sheetData>
  <autoFilter ref="A1:X171" xr:uid="{67835F87-8E16-4012-B1FC-4AA8A57E1B78}">
    <filterColumn colId="5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20C89-C466-4B4A-9C37-1D3C33B89B1E}">
  <dimension ref="C2:E25"/>
  <sheetViews>
    <sheetView zoomScale="70" zoomScaleNormal="70" workbookViewId="0">
      <selection activeCell="Q14" sqref="Q14"/>
    </sheetView>
  </sheetViews>
  <sheetFormatPr defaultRowHeight="15" x14ac:dyDescent="0.25"/>
  <cols>
    <col min="3" max="3" width="19.140625" bestFit="1" customWidth="1"/>
    <col min="5" max="5" width="48" bestFit="1" customWidth="1"/>
  </cols>
  <sheetData>
    <row r="2" spans="3:5" x14ac:dyDescent="0.25">
      <c r="C2" s="33" t="s">
        <v>905</v>
      </c>
      <c r="D2" s="41">
        <v>3697</v>
      </c>
      <c r="E2" t="s">
        <v>910</v>
      </c>
    </row>
    <row r="3" spans="3:5" x14ac:dyDescent="0.25">
      <c r="C3" s="33" t="s">
        <v>906</v>
      </c>
      <c r="D3" s="35">
        <v>3700</v>
      </c>
      <c r="E3" t="s">
        <v>911</v>
      </c>
    </row>
    <row r="4" spans="3:5" x14ac:dyDescent="0.25">
      <c r="C4" s="33"/>
      <c r="D4" s="35">
        <v>3701</v>
      </c>
      <c r="E4" t="s">
        <v>912</v>
      </c>
    </row>
    <row r="5" spans="3:5" x14ac:dyDescent="0.25">
      <c r="C5" s="33" t="s">
        <v>907</v>
      </c>
      <c r="D5" s="35">
        <v>3703</v>
      </c>
      <c r="E5" t="s">
        <v>913</v>
      </c>
    </row>
    <row r="6" spans="3:5" x14ac:dyDescent="0.25">
      <c r="C6" s="33" t="s">
        <v>908</v>
      </c>
      <c r="D6" s="35">
        <v>3714</v>
      </c>
      <c r="E6" t="s">
        <v>914</v>
      </c>
    </row>
    <row r="7" spans="3:5" x14ac:dyDescent="0.25">
      <c r="C7" s="33" t="s">
        <v>909</v>
      </c>
      <c r="D7" s="35">
        <v>3715</v>
      </c>
      <c r="E7" t="s">
        <v>915</v>
      </c>
    </row>
    <row r="10" spans="3:5" x14ac:dyDescent="0.25">
      <c r="E10" t="s">
        <v>899</v>
      </c>
    </row>
    <row r="14" spans="3:5" ht="255" customHeight="1" x14ac:dyDescent="0.25"/>
    <row r="15" spans="3:5" x14ac:dyDescent="0.25">
      <c r="E15" t="s">
        <v>900</v>
      </c>
    </row>
    <row r="18" spans="5:5" ht="409.5" customHeight="1" x14ac:dyDescent="0.25"/>
    <row r="20" spans="5:5" x14ac:dyDescent="0.25">
      <c r="E20" t="s">
        <v>901</v>
      </c>
    </row>
    <row r="23" spans="5:5" ht="205.5" customHeight="1" x14ac:dyDescent="0.25"/>
    <row r="25" spans="5:5" x14ac:dyDescent="0.25">
      <c r="E25" t="s">
        <v>902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C88B4-F11D-4FCC-AB21-D805B4E115CA}">
  <dimension ref="A1:D24"/>
  <sheetViews>
    <sheetView workbookViewId="0">
      <selection activeCell="I16" sqref="I16"/>
    </sheetView>
  </sheetViews>
  <sheetFormatPr defaultRowHeight="15" x14ac:dyDescent="0.25"/>
  <cols>
    <col min="1" max="1" width="14.85546875" bestFit="1" customWidth="1"/>
    <col min="2" max="2" width="55.28515625" bestFit="1" customWidth="1"/>
    <col min="4" max="4" width="43.140625" bestFit="1" customWidth="1"/>
  </cols>
  <sheetData>
    <row r="1" spans="1:4" x14ac:dyDescent="0.25">
      <c r="A1" t="s">
        <v>554</v>
      </c>
      <c r="B1" t="s">
        <v>556</v>
      </c>
    </row>
    <row r="3" spans="1:4" x14ac:dyDescent="0.25">
      <c r="B3" t="s">
        <v>557</v>
      </c>
      <c r="C3" t="s">
        <v>561</v>
      </c>
    </row>
    <row r="4" spans="1:4" x14ac:dyDescent="0.25">
      <c r="B4" t="s">
        <v>558</v>
      </c>
      <c r="D4" t="s">
        <v>564</v>
      </c>
    </row>
    <row r="5" spans="1:4" x14ac:dyDescent="0.25">
      <c r="B5" t="s">
        <v>563</v>
      </c>
    </row>
    <row r="6" spans="1:4" x14ac:dyDescent="0.25">
      <c r="B6" t="s">
        <v>559</v>
      </c>
      <c r="C6" t="s">
        <v>561</v>
      </c>
    </row>
    <row r="7" spans="1:4" x14ac:dyDescent="0.25">
      <c r="B7" t="s">
        <v>562</v>
      </c>
      <c r="C7" t="s">
        <v>561</v>
      </c>
    </row>
    <row r="8" spans="1:4" x14ac:dyDescent="0.25">
      <c r="B8" t="s">
        <v>560</v>
      </c>
      <c r="C8" t="s">
        <v>561</v>
      </c>
    </row>
    <row r="11" spans="1:4" x14ac:dyDescent="0.25">
      <c r="B11" t="s">
        <v>557</v>
      </c>
      <c r="C11" t="s">
        <v>561</v>
      </c>
    </row>
    <row r="12" spans="1:4" x14ac:dyDescent="0.25">
      <c r="B12" t="s">
        <v>558</v>
      </c>
      <c r="D12" t="s">
        <v>564</v>
      </c>
    </row>
    <row r="13" spans="1:4" x14ac:dyDescent="0.25">
      <c r="B13" t="s">
        <v>563</v>
      </c>
    </row>
    <row r="14" spans="1:4" x14ac:dyDescent="0.25">
      <c r="B14" t="s">
        <v>559</v>
      </c>
      <c r="C14" t="s">
        <v>561</v>
      </c>
    </row>
    <row r="15" spans="1:4" x14ac:dyDescent="0.25">
      <c r="B15" t="s">
        <v>562</v>
      </c>
      <c r="C15" t="s">
        <v>561</v>
      </c>
    </row>
    <row r="16" spans="1:4" x14ac:dyDescent="0.25">
      <c r="B16" t="s">
        <v>560</v>
      </c>
      <c r="C16" t="s">
        <v>561</v>
      </c>
    </row>
    <row r="20" spans="1:4" x14ac:dyDescent="0.25">
      <c r="A20">
        <v>1</v>
      </c>
      <c r="B20" t="s">
        <v>576</v>
      </c>
      <c r="C20" t="s">
        <v>561</v>
      </c>
    </row>
    <row r="21" spans="1:4" x14ac:dyDescent="0.25">
      <c r="A21">
        <v>2</v>
      </c>
      <c r="B21" t="s">
        <v>575</v>
      </c>
      <c r="D21" t="s">
        <v>564</v>
      </c>
    </row>
    <row r="22" spans="1:4" x14ac:dyDescent="0.25">
      <c r="A22">
        <v>3</v>
      </c>
      <c r="B22" t="s">
        <v>574</v>
      </c>
      <c r="C22" t="s">
        <v>561</v>
      </c>
    </row>
    <row r="23" spans="1:4" x14ac:dyDescent="0.25">
      <c r="A23">
        <v>4</v>
      </c>
      <c r="B23" t="s">
        <v>573</v>
      </c>
      <c r="C23" t="s">
        <v>561</v>
      </c>
    </row>
    <row r="24" spans="1:4" x14ac:dyDescent="0.25">
      <c r="A24">
        <v>5</v>
      </c>
      <c r="B24" t="s">
        <v>577</v>
      </c>
      <c r="C24" t="s">
        <v>561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6d9849-7071-4555-8535-ee11c374d0f7">
      <Terms xmlns="http://schemas.microsoft.com/office/infopath/2007/PartnerControls"/>
    </lcf76f155ced4ddcb4097134ff3c332f>
    <TaxCatchAll xmlns="3f324c86-ae15-4ed4-b4a2-09335a7d28ef" xsi:nil="true"/>
    <SharedWithUsers xmlns="3f324c86-ae15-4ed4-b4a2-09335a7d28ef">
      <UserInfo>
        <DisplayName>Noel Loughran</DisplayName>
        <AccountId>19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9F7729ADF49144A01A6175DD599202" ma:contentTypeVersion="13" ma:contentTypeDescription="Create a new document." ma:contentTypeScope="" ma:versionID="3f00ebe7287476f312414df31db46304">
  <xsd:schema xmlns:xsd="http://www.w3.org/2001/XMLSchema" xmlns:xs="http://www.w3.org/2001/XMLSchema" xmlns:p="http://schemas.microsoft.com/office/2006/metadata/properties" xmlns:ns2="c96d9849-7071-4555-8535-ee11c374d0f7" xmlns:ns3="3f324c86-ae15-4ed4-b4a2-09335a7d28ef" targetNamespace="http://schemas.microsoft.com/office/2006/metadata/properties" ma:root="true" ma:fieldsID="8f2e969a0d0c60cbdf6bd0d859a86451" ns2:_="" ns3:_="">
    <xsd:import namespace="c96d9849-7071-4555-8535-ee11c374d0f7"/>
    <xsd:import namespace="3f324c86-ae15-4ed4-b4a2-09335a7d28e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9849-7071-4555-8535-ee11c374d0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4478bf3-ed0a-4d9e-9d31-81f1161133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24c86-ae15-4ed4-b4a2-09335a7d28ef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031127c-1ecd-4f8f-ad0a-e8e7f691a704}" ma:internalName="TaxCatchAll" ma:showField="CatchAllData" ma:web="3f324c86-ae15-4ed4-b4a2-09335a7d28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E4EA8D-9182-4C6A-B31C-49373749A7AE}">
  <ds:schemaRefs>
    <ds:schemaRef ds:uri="3f324c86-ae15-4ed4-b4a2-09335a7d28ef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c96d9849-7071-4555-8535-ee11c374d0f7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596B7D1-B3E6-40CB-B05E-2E959D1A2B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9849-7071-4555-8535-ee11c374d0f7"/>
    <ds:schemaRef ds:uri="3f324c86-ae15-4ed4-b4a2-09335a7d28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3E59E7C-5896-4162-AB70-9CA3CEB6A0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IO</vt:lpstr>
      <vt:lpstr>Sheet1</vt:lpstr>
      <vt:lpstr>Settings</vt:lpstr>
      <vt:lpstr>IfmPinRef</vt:lpstr>
      <vt:lpstr>SNAGS</vt:lpstr>
      <vt:lpstr>Alarms List</vt:lpstr>
      <vt:lpstr>  C3.6 PGNs</vt:lpstr>
      <vt:lpstr>C3.6 PGNS -12 doc</vt:lpstr>
      <vt:lpstr>DPF Symbol Logic</vt:lpstr>
      <vt:lpstr>SEQ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McCann</dc:creator>
  <cp:keywords/>
  <dc:description/>
  <cp:lastModifiedBy>adam watson</cp:lastModifiedBy>
  <cp:revision/>
  <dcterms:created xsi:type="dcterms:W3CDTF">2023-02-22T14:30:04Z</dcterms:created>
  <dcterms:modified xsi:type="dcterms:W3CDTF">2025-03-28T13:16:14Z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0x0101007A9F7729ADF49144A01A6175DD599202</vt:lpwstr>
  </property>
  <property fmtid="{D5CDD505-2E9C-101B-9397-08002B2CF9AE}" pid="3" name="MediaServiceImageTags">
    <vt:lpwstr/>
  </property>
</Properties>
</file>